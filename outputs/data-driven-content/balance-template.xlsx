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498f803d3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" sheetId="1" r:id="Rc5973266ba104921"/>
    <x:sheet xmlns:r="http://schemas.openxmlformats.org/officeDocument/2006/relationships" name="items" sheetId="2" r:id="R61c6d1918b1e4697"/>
    <x:sheet xmlns:r="http://schemas.openxmlformats.org/officeDocument/2006/relationships" name="effects" sheetId="3" r:id="Rb9d4a2c52712429d"/>
    <x:sheet xmlns:r="http://schemas.openxmlformats.org/officeDocument/2006/relationships" name="tags" sheetId="4" r:id="Rf9cac5aa2ab840d1"/>
    <x:sheet xmlns:r="http://schemas.openxmlformats.org/officeDocument/2006/relationships" name="loadout" sheetId="5" r:id="Rc987a1a6879f43b4"/>
    <x:sheet xmlns:r="http://schemas.openxmlformats.org/officeDocument/2006/relationships" name="encounters" sheetId="6" r:id="R895dc9976b28429d"/>
    <x:sheet xmlns:r="http://schemas.openxmlformats.org/officeDocument/2006/relationships" name="rules" sheetId="7" r:id="R7d7ead5d209b4d41"/>
    <x:sheet xmlns:r="http://schemas.openxmlformats.org/officeDocument/2006/relationships" name="rewards" sheetId="8" r:id="R41ce6719652d4fa3"/>
    <x:sheet xmlns:r="http://schemas.openxmlformats.org/officeDocument/2006/relationships" name="routes" sheetId="9" r:id="Rd50c818621614c0c"/>
    <x:sheet xmlns:r="http://schemas.openxmlformats.org/officeDocument/2006/relationships" name="events" sheetId="10" r:id="Raa3f8ace57ad4548"/>
    <x:sheet xmlns:r="http://schemas.openxmlformats.org/officeDocument/2006/relationships" name="resolutions" sheetId="11" r:id="R31dd7022fae547bb"/>
    <x:sheet xmlns:r="http://schemas.openxmlformats.org/officeDocument/2006/relationships" name="hazards" sheetId="12" r:id="R79195c194587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&quot;x&quot;"/>
  </x:numFmts>
  <x:fonts count="5">
    <x:font>
      <x:sz val="11"/>
      <x:name val="Carlito"/>
    </x:font>
    <x:font>
      <x:sz val="11"/>
      <x:color rgb="FF24333A"/>
      <x:name val="Arial"/>
    </x:font>
    <x:font>
      <x:b/>
      <x:sz val="11"/>
      <x:color rgb="FFFFFFFF"/>
      <x:name val="Arial"/>
    </x:font>
    <x:font>
      <x:b/>
      <x:sz val="16"/>
      <x:color rgb="FF24333A"/>
      <x:name val="Arial"/>
    </x:font>
    <x:font>
      <x:b/>
      <x:sz val="13"/>
      <x:color rgb="FF24333A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4333A"/>
      </x:patternFill>
    </x:fill>
    <x:fill>
      <x:patternFill patternType="solid">
        <x:fgColor rgb="FFFFF0CB"/>
      </x:patternFill>
    </x:fill>
    <x:fill>
      <x:patternFill patternType="solid">
        <x:fgColor rgb="FFE7EEF5"/>
      </x:patternFill>
    </x:fill>
    <x:fill>
      <x:patternFill patternType="solid">
        <x:fgColor rgb="FF24333A"/>
      </x:patternFill>
    </x:fill>
    <x:fill>
      <x:patternFill patternType="solid">
        <x:fgColor rgb="FFFFF0CB"/>
      </x:patternFill>
    </x:fill>
    <x:fill>
      <x:patternFill patternType="solid">
        <x:fgColor rgb="FF29444A"/>
      </x:patternFill>
    </x:fill>
    <x:fill>
      <x:patternFill patternType="solid">
        <x:fgColor rgb="FF294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E7EE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383016d1342bb" /><Relationship Type="http://schemas.openxmlformats.org/officeDocument/2006/relationships/theme" Target="/xl/theme/theme1.xml" Id="R9287f2a0ec2f47df" /><Relationship Type="http://schemas.microsoft.com/office/2022/11/relationships/FeaturePropertyBag" Target="/xl/featurePropertyBag/featurePropertyBag.xml" Id="R240339f2608d4ed0" /><Relationship Type="http://schemas.openxmlformats.org/officeDocument/2006/relationships/sharedStrings" Target="/xl/sharedStrings.xml" Id="Rf4daafb5adec4958" /><Relationship Type="http://schemas.openxmlformats.org/officeDocument/2006/relationships/worksheet" Target="/xl/worksheets/sheet1.xml" Id="Rc5973266ba104921" /><Relationship Type="http://schemas.openxmlformats.org/officeDocument/2006/relationships/worksheet" Target="/xl/worksheets/sheet2.xml" Id="R61c6d1918b1e4697" /><Relationship Type="http://schemas.openxmlformats.org/officeDocument/2006/relationships/worksheet" Target="/xl/worksheets/sheet3.xml" Id="Rb9d4a2c52712429d" /><Relationship Type="http://schemas.openxmlformats.org/officeDocument/2006/relationships/worksheet" Target="/xl/worksheets/sheet4.xml" Id="Rf9cac5aa2ab840d1" /><Relationship Type="http://schemas.openxmlformats.org/officeDocument/2006/relationships/worksheet" Target="/xl/worksheets/sheet5.xml" Id="Rc987a1a6879f43b4" /><Relationship Type="http://schemas.openxmlformats.org/officeDocument/2006/relationships/worksheet" Target="/xl/worksheets/sheet6.xml" Id="R895dc9976b28429d" /><Relationship Type="http://schemas.openxmlformats.org/officeDocument/2006/relationships/worksheet" Target="/xl/worksheets/sheet7.xml" Id="R7d7ead5d209b4d41" /><Relationship Type="http://schemas.openxmlformats.org/officeDocument/2006/relationships/worksheet" Target="/xl/worksheets/sheet8.xml" Id="R41ce6719652d4fa3" /><Relationship Type="http://schemas.openxmlformats.org/officeDocument/2006/relationships/worksheet" Target="/xl/worksheets/sheet9.xml" Id="Rd50c818621614c0c" /><Relationship Type="http://schemas.openxmlformats.org/officeDocument/2006/relationships/worksheet" Target="/xl/worksheets/sheet10.xml" Id="Raa3f8ace57ad4548" /><Relationship Type="http://schemas.openxmlformats.org/officeDocument/2006/relationships/worksheet" Target="/xl/worksheets/sheet11.xml" Id="R31dd7022fae547bb" /><Relationship Type="http://schemas.openxmlformats.org/officeDocument/2006/relationships/worksheet" Target="/xl/worksheets/sheet12.xml" Id="R79195c19458747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tent_items" displayName="Content_items" ref="A1:J13" headerRowCount="1" totalsRowCount="0" totalsRowShown="0">
  <x:tableColumns count="10">
    <x:tableColumn id="1" name="id"/>
    <x:tableColumn id="2" name="display_name"/>
    <x:tableColumn id="3" name="description"/>
    <x:tableColumn id="4" name="footprint"/>
    <x:tableColumn id="5" name="tags"/>
    <x:tableColumn id="6" name="cost"/>
    <x:tableColumn id="7" name="uses_per_turn"/>
    <x:tableColumn id="8" name="consumable"/>
    <x:tableColumn id="9" name="icon_id"/>
    <x:tableColumn id="10" name="effect_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_effects" displayName="Content_effects" ref="A1:N20" headerRowCount="1" totalsRowCount="0" totalsRowShown="0">
  <x:tableColumns count="14">
    <x:tableColumn id="1" name="id"/>
    <x:tableColumn id="2" name="trigger"/>
    <x:tableColumn id="3" name="operation"/>
    <x:tableColumn id="4" name="target"/>
    <x:tableColumn id="5" name="amount"/>
    <x:tableColumn id="6" name="required_tags"/>
    <x:tableColumn id="7" name="condition_tags"/>
    <x:tableColumn id="8" name="scale"/>
    <x:tableColumn id="9" name="max_matches"/>
    <x:tableColumn id="10" name="affects"/>
    <x:tableColumn id="11" name="stack_group"/>
    <x:tableColumn id="12" name="max_per_action"/>
    <x:tableColumn id="13" name="priority"/>
    <x:tableColumn id="14" name="_base_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nt_tags" displayName="Content_tags" ref="A1:B5" headerRowCount="1" totalsRowCount="0" totalsRowShown="0">
  <x:tableColumns count="2">
    <x:tableColumn id="1" name="id"/>
    <x:tableColumn id="2" name="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nt_loadout" displayName="Content_loadout" ref="A1:E8" headerRowCount="1" totalsRowCount="0" totalsRowShown="0">
  <x:tableColumns count="5">
    <x:tableColumn id="1" name="id"/>
    <x:tableColumn id="2" name="item_id"/>
    <x:tableColumn id="3" name="x"/>
    <x:tableColumn id="4" name="y"/>
    <x:tableColumn id="5" name="ro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ent_encounters" displayName="Content_encounters" ref="A1:G4" headerRowCount="1" totalsRowCount="0" totalsRowShown="0">
  <x:tableColumns count="7">
    <x:tableColumn id="1" name="id"/>
    <x:tableColumn id="2" name="order"/>
    <x:tableColumn id="3" name="name"/>
    <x:tableColumn id="4" name="hp"/>
    <x:tableColumn id="5" name="intent_ids"/>
    <x:tableColumn id="6" name="reaction_ids"/>
    <x:tableColumn id="7" name="visual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ent_rules" displayName="Content_rules" ref="A1:G2" headerRowCount="1" totalsRowCount="0" totalsRowShown="0">
  <x:tableColumns count="7">
    <x:tableColumn id="1" name="id"/>
    <x:tableColumn id="2" name="grid_width"/>
    <x:tableColumn id="3" name="grid_height"/>
    <x:tableColumn id="4" name="max_health"/>
    <x:tableColumn id="5" name="energy_per_turn"/>
    <x:tableColumn id="6" name="victory_heal"/>
    <x:tableColumn id="7" name="player_visu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ent_rewards" displayName="Content_rewards" ref="A1:C3" headerRowCount="1" totalsRowCount="0" totalsRowShown="0">
  <x:tableColumns count="3">
    <x:tableColumn id="1" name="id"/>
    <x:tableColumn id="2" name="encounter_id"/>
    <x:tableColumn id="3" name="item_id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tent_routes" displayName="Content_routes" ref="A1:E3" headerRowCount="1" totalsRowCount="0" totalsRowShown="0">
  <x:tableColumns count="5">
    <x:tableColumn id="1" name="id"/>
    <x:tableColumn id="2" name="name"/>
    <x:tableColumn id="3" name="description"/>
    <x:tableColumn id="4" name="encounter_ids"/>
    <x:tableColumn id="5" name="reward_id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ntent_events" displayName="Content_events" ref="A1:J2" headerRowCount="1" totalsRowCount="0" totalsRowShown="0">
  <x:tableColumns count="10">
    <x:tableColumn id="1" name="id"/>
    <x:tableColumn id="2" name="step"/>
    <x:tableColumn id="3" name="title"/>
    <x:tableColumn id="4" name="description"/>
    <x:tableColumn id="5" name="item_id"/>
    <x:tableColumn id="6" name="take_label"/>
    <x:tableColumn id="7" name="leave_label"/>
    <x:tableColumn id="8" name="take_result"/>
    <x:tableColumn id="9" name="leave_result"/>
    <x:tableColumn id="10" name="heal_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ef7176e45d47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5c48de5d38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e35dde51be4f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4a0df1919946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1a8a4aa2c546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783f6cda0c42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546c32b6d244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a6d9d9a0174d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dd6e5ae76194fd3" /></Relationships>
</file>

<file path=xl/worksheets/sheet1.xml><?xml version="1.0" encoding="utf-8"?>
<x:worksheet xmlns:x="http://schemas.openxmlformats.org/spreadsheetml/2006/main">
  <x:sheetPr>
    <x:tabColor rgb="FF24333A"/>
  </x:sheetPr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14" t="str">
        <x:v>저승 보따리 밸런싱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16" t="str">
        <x:v>연산 (아군·적 공통)</x:v>
      </x:c>
      <x:c r="B4" s="16" t="str">
        <x:v>수치 배율</x:v>
      </x:c>
      <x:c r="C4" s="2"/>
      <x:c r="D4" s="16" t="str">
        <x:v>아이템 수</x:v>
      </x:c>
      <x:c r="E4" s="16" t="str">
        <x:v>효과 수</x:v>
      </x:c>
      <x:c r="F4" s="16" t="str">
        <x:v>적 수</x:v>
      </x:c>
      <x:c r="G4" s="16" t="str">
        <x:v>초기 물건 수</x:v>
      </x:c>
      <x:c r="H4" s="2"/>
    </x:row>
    <x:row r="5" ht="26" customHeight="1">
      <x:c r="A5" s="2" t="str">
        <x:v>damage</x:v>
      </x:c>
      <x:c r="B5" s="18" t="n">
        <x:v>1</x:v>
      </x:c>
      <x:c r="C5" s="2"/>
      <x:c r="D5" s="19" t="n">
        <x:f>COUNTA(items!A2:A2001)</x:f>
        <x:v>12</x:v>
      </x:c>
      <x:c r="E5" s="19" t="n">
        <x:f>COUNTA(effects!A2:A2001)</x:f>
        <x:v>21</x:v>
      </x:c>
      <x:c r="F5" s="19" t="n">
        <x:f>COUNTA(encounters!A2:A2001)</x:f>
        <x:v>3</x:v>
      </x:c>
      <x:c r="G5" s="19" t="n">
        <x:f>COUNTA(loadout!A2:A2001)</x:f>
        <x:v>7</x:v>
      </x:c>
      <x:c r="H5" s="2"/>
    </x:row>
    <x:row r="6" ht="26" customHeight="1">
      <x:c r="A6" s="2" t="str">
        <x:v>guard</x:v>
      </x:c>
      <x:c r="B6" s="18" t="n">
        <x:v>1</x:v>
      </x:c>
      <x:c r="C6" s="2"/>
      <x:c r="D6" s="2"/>
      <x:c r="E6" s="2"/>
      <x:c r="F6" s="2"/>
      <x:c r="G6" s="2"/>
      <x:c r="H6" s="2"/>
    </x:row>
    <x:row r="7" ht="26" customHeight="1">
      <x:c r="A7" s="2" t="str">
        <x:v>heal</x:v>
      </x:c>
      <x:c r="B7" s="18" t="n">
        <x:v>1</x:v>
      </x:c>
      <x:c r="C7" s="2"/>
      <x:c r="D7" s="2" t="str">
        <x:v>노랑: 입력 / 파랑: 계산. 효과별 원수치는 effects의 _base_amount에서 수정합니다.</x:v>
      </x:c>
      <x:c r="E7" s="2"/>
      <x:c r="F7" s="2"/>
      <x:c r="G7" s="2"/>
      <x:c r="H7" s="2"/>
    </x:row>
    <x:row r="8" ht="26" customHeight="1">
      <x:c r="A8" s="2" t="str">
        <x:v>set_guard</x:v>
      </x:c>
      <x:c r="B8" s="18" t="n">
        <x:v>1</x:v>
      </x:c>
      <x:c r="C8" s="2"/>
      <x:c r="D8" s="2" t="str">
        <x:v>amount에는 반올림한 결과가 들어갑니다. CSV에는 수식 결과를 내보냅니다.</x:v>
      </x:c>
      <x:c r="E8" s="2"/>
      <x:c r="F8" s="2"/>
      <x:c r="G8" s="2"/>
      <x:c r="H8" s="2"/>
    </x:row>
    <x:row r="9" ht="26" customHeight="1">
      <x:c r="A9" s="2"/>
      <x:c r="B9" s="2"/>
      <x:c r="C9" s="2"/>
      <x:c r="D9" s="2" t="str">
        <x:v>새 효과는 effects의 기존 행을 복사하고 ID·규칙·원수치를 바꾸세요.</x:v>
      </x:c>
      <x:c r="E9" s="2"/>
      <x:c r="F9" s="2"/>
      <x:c r="G9" s="2"/>
      <x:c r="H9" s="2"/>
    </x:row>
    <x:row r="10" ht="26" customHeight="1">
      <x:c r="A10" s="2"/>
      <x:c r="B10" s="2"/>
      <x:c r="C10" s="2"/>
      <x:c r="D10" s="2" t="str">
        <x:v>rewards는 후보, routes는 길목과 보상 순서를 설정합니다.</x:v>
      </x:c>
      <x:c r="E10" s="2"/>
      <x:c r="F10" s="2"/>
      <x:c r="G10" s="2"/>
      <x:c r="H10" s="2"/>
    </x:row>
    <x:row r="11" ht="26" customHeight="1">
      <x:c r="A11" s="20" t="str">
        <x:v>효과별 수치 비교</x:v>
      </x:c>
      <x:c r="B11" s="2"/>
      <x:c r="C11" s="2"/>
      <x:c r="D11" s="2"/>
      <x:c r="E11" s="2"/>
      <x:c r="F11" s="2"/>
      <x:c r="G11" s="2"/>
      <x:c r="H11" s="2"/>
    </x:row>
    <x:row r="12" ht="34" customHeight="1">
      <x:c r="A12" s="21" t="str">
        <x:v>effect_id</x:v>
      </x:c>
      <x:c r="B12" s="21" t="str">
        <x:v>연산</x:v>
      </x:c>
      <x:c r="C12" s="21" t="str">
        <x:v>발동 시점</x:v>
      </x:c>
      <x:c r="D12" s="21" t="str">
        <x:v>원수치</x:v>
      </x:c>
      <x:c r="E12" s="21" t="str">
        <x:v>출력 수치</x:v>
      </x:c>
      <x:c r="F12" s="21" t="str">
        <x:v>변화</x:v>
      </x:c>
      <x:c r="G12" s="21" t="str">
        <x:v>조건 충족 최대</x:v>
      </x:c>
      <x:c r="H12" s="2"/>
    </x:row>
    <x:row r="13" ht="26" customHeight="1">
      <x:c r="A13" s="2" t="str">
        <x:v>sword_use</x:v>
      </x:c>
      <x:c r="B13" s="2" t="str">
        <x:f>INDEX(effects!$C$2:$C$2001,MATCH($A13,effects!$A$2:$A$2001,0))</x:f>
        <x:v>damage</x:v>
      </x:c>
      <x:c r="C13" s="2" t="str">
        <x:f>INDEX(effects!$B$2:$B$2001,MATCH($A13,effects!$A$2:$A$2001,0))</x:f>
        <x:v>use</x:v>
      </x:c>
      <x:c r="D13" s="19" t="n">
        <x:f>INDEX(effects!$N$2:$N$2001,MATCH($A13,effects!$A$2:$A$2001,0))</x:f>
        <x:v>6</x:v>
      </x:c>
      <x:c r="E13" s="19" t="n">
        <x:f>INDEX(effects!$E$2:$E$2001,MATCH($A13,effects!$A$2:$A$2001,0))</x:f>
        <x:v>6</x:v>
      </x:c>
      <x:c r="F13" s="19" t="n">
        <x:f>E13-D13</x:f>
        <x:v>0</x:v>
      </x:c>
      <x:c r="G13" s="19" t="n">
        <x:f>E13*IF(INDEX(effects!$H$2:$H$2001,MATCH($A13,effects!$A$2:$A$2001,0))&lt;&gt;"flat",INDEX(effects!$I$2:$I$2001,MATCH($A13,effects!$A$2:$A$2001,0)),1)</x:f>
        <x:v>6</x:v>
      </x:c>
      <x:c r="H13" s="2"/>
    </x:row>
    <x:row r="14" ht="26" customHeight="1">
      <x:c r="A14" s="2" t="str">
        <x:v>seal_bonus</x:v>
      </x:c>
      <x:c r="B14" s="2" t="str">
        <x:f>INDEX(effects!$C$2:$C$2001,MATCH($A14,effects!$A$2:$A$2001,0))</x:f>
        <x:v>modify_power</x:v>
      </x:c>
      <x:c r="C14" s="2" t="str">
        <x:f>INDEX(effects!$B$2:$B$2001,MATCH($A14,effects!$A$2:$A$2001,0))</x:f>
        <x:v>modify</x:v>
      </x:c>
      <x:c r="D14" s="19" t="n">
        <x:f>INDEX(effects!$N$2:$N$2001,MATCH($A14,effects!$A$2:$A$2001,0))</x:f>
        <x:v>2</x:v>
      </x:c>
      <x:c r="E14" s="19" t="n">
        <x:f>INDEX(effects!$E$2:$E$2001,MATCH($A14,effects!$A$2:$A$2001,0))</x:f>
        <x:v>2</x:v>
      </x:c>
      <x:c r="F14" s="19" t="n">
        <x:f>E14-D14</x:f>
        <x:v>0</x:v>
      </x:c>
      <x:c r="G14" s="19" t="n">
        <x:f>E14*IF(INDEX(effects!$H$2:$H$2001,MATCH($A14,effects!$A$2:$A$2001,0))&lt;&gt;"flat",INDEX(effects!$I$2:$I$2001,MATCH($A14,effects!$A$2:$A$2001,0)),1)</x:f>
        <x:v>2</x:v>
      </x:c>
      <x:c r="H14" s="2"/>
    </x:row>
    <x:row r="15" ht="26" customHeight="1">
      <x:c r="A15" s="2" t="str">
        <x:v>lantern_guard</x:v>
      </x:c>
      <x:c r="B15" s="2" t="str">
        <x:f>INDEX(effects!$C$2:$C$2001,MATCH($A15,effects!$A$2:$A$2001,0))</x:f>
        <x:v>guard</x:v>
      </x:c>
      <x:c r="C15" s="2" t="str">
        <x:f>INDEX(effects!$B$2:$B$2001,MATCH($A15,effects!$A$2:$A$2001,0))</x:f>
        <x:v>turn_end</x:v>
      </x:c>
      <x:c r="D15" s="19" t="n">
        <x:f>INDEX(effects!$N$2:$N$2001,MATCH($A15,effects!$A$2:$A$2001,0))</x:f>
        <x:v>4</x:v>
      </x:c>
      <x:c r="E15" s="19" t="n">
        <x:f>INDEX(effects!$E$2:$E$2001,MATCH($A15,effects!$A$2:$A$2001,0))</x:f>
        <x:v>4</x:v>
      </x:c>
      <x:c r="F15" s="19" t="n">
        <x:f>E15-D15</x:f>
        <x:v>0</x:v>
      </x:c>
      <x:c r="G15" s="19" t="n">
        <x:f>E15*IF(INDEX(effects!$H$2:$H$2001,MATCH($A15,effects!$A$2:$A$2001,0))&lt;&gt;"flat",INDEX(effects!$I$2:$I$2001,MATCH($A15,effects!$A$2:$A$2001,0)),1)</x:f>
        <x:v>8</x:v>
      </x:c>
      <x:c r="H15" s="2"/>
    </x:row>
    <x:row r="16" ht="26" customHeight="1">
      <x:c r="A16" s="2" t="str">
        <x:v>hat_use</x:v>
      </x:c>
      <x:c r="B16" s="2" t="str">
        <x:f>INDEX(effects!$C$2:$C$2001,MATCH($A16,effects!$A$2:$A$2001,0))</x:f>
        <x:v>guard</x:v>
      </x:c>
      <x:c r="C16" s="2" t="str">
        <x:f>INDEX(effects!$B$2:$B$2001,MATCH($A16,effects!$A$2:$A$2001,0))</x:f>
        <x:v>use</x:v>
      </x:c>
      <x:c r="D16" s="19" t="n">
        <x:f>INDEX(effects!$N$2:$N$2001,MATCH($A16,effects!$A$2:$A$2001,0))</x:f>
        <x:v>5</x:v>
      </x:c>
      <x:c r="E16" s="19" t="n">
        <x:f>INDEX(effects!$E$2:$E$2001,MATCH($A16,effects!$A$2:$A$2001,0))</x:f>
        <x:v>5</x:v>
      </x:c>
      <x:c r="F16" s="19" t="n">
        <x:f>E16-D16</x:f>
        <x:v>0</x:v>
      </x:c>
      <x:c r="G16" s="19" t="n">
        <x:f>E16*IF(INDEX(effects!$H$2:$H$2001,MATCH($A16,effects!$A$2:$A$2001,0))&lt;&gt;"flat",INDEX(effects!$I$2:$I$2001,MATCH($A16,effects!$A$2:$A$2001,0)),1)</x:f>
        <x:v>5</x:v>
      </x:c>
      <x:c r="H16" s="2"/>
    </x:row>
    <x:row r="17" ht="26" customHeight="1">
      <x:c r="A17" s="2" t="str">
        <x:v>bell_use</x:v>
      </x:c>
      <x:c r="B17" s="2" t="str">
        <x:f>INDEX(effects!$C$2:$C$2001,MATCH($A17,effects!$A$2:$A$2001,0))</x:f>
        <x:v>damage</x:v>
      </x:c>
      <x:c r="C17" s="2" t="str">
        <x:f>INDEX(effects!$B$2:$B$2001,MATCH($A17,effects!$A$2:$A$2001,0))</x:f>
        <x:v>use</x:v>
      </x:c>
      <x:c r="D17" s="19" t="n">
        <x:f>INDEX(effects!$N$2:$N$2001,MATCH($A17,effects!$A$2:$A$2001,0))</x:f>
        <x:v>3</x:v>
      </x:c>
      <x:c r="E17" s="19" t="n">
        <x:f>INDEX(effects!$E$2:$E$2001,MATCH($A17,effects!$A$2:$A$2001,0))</x:f>
        <x:v>3</x:v>
      </x:c>
      <x:c r="F17" s="19" t="n">
        <x:f>E17-D17</x:f>
        <x:v>0</x:v>
      </x:c>
      <x:c r="G17" s="19" t="n">
        <x:f>E17*IF(INDEX(effects!$H$2:$H$2001,MATCH($A17,effects!$A$2:$A$2001,0))&lt;&gt;"flat",INDEX(effects!$I$2:$I$2001,MATCH($A17,effects!$A$2:$A$2001,0)),1)</x:f>
        <x:v>3</x:v>
      </x:c>
      <x:c r="H17" s="2"/>
    </x:row>
    <x:row r="18" ht="26" customHeight="1">
      <x:c r="A18" s="2" t="str">
        <x:v>yakgwa_use</x:v>
      </x:c>
      <x:c r="B18" s="2" t="str">
        <x:f>INDEX(effects!$C$2:$C$2001,MATCH($A18,effects!$A$2:$A$2001,0))</x:f>
        <x:v>heal</x:v>
      </x:c>
      <x:c r="C18" s="2" t="str">
        <x:f>INDEX(effects!$B$2:$B$2001,MATCH($A18,effects!$A$2:$A$2001,0))</x:f>
        <x:v>use</x:v>
      </x:c>
      <x:c r="D18" s="19" t="n">
        <x:f>INDEX(effects!$N$2:$N$2001,MATCH($A18,effects!$A$2:$A$2001,0))</x:f>
        <x:v>7</x:v>
      </x:c>
      <x:c r="E18" s="19" t="n">
        <x:f>INDEX(effects!$E$2:$E$2001,MATCH($A18,effects!$A$2:$A$2001,0))</x:f>
        <x:v>7</x:v>
      </x:c>
      <x:c r="F18" s="19" t="n">
        <x:f>E18-D18</x:f>
        <x:v>0</x:v>
      </x:c>
      <x:c r="G18" s="19" t="n">
        <x:f>E18*IF(INDEX(effects!$H$2:$H$2001,MATCH($A18,effects!$A$2:$A$2001,0))&lt;&gt;"flat",INDEX(effects!$I$2:$I$2001,MATCH($A18,effects!$A$2:$A$2001,0)),1)</x:f>
        <x:v>7</x:v>
      </x:c>
      <x:c r="H18" s="2"/>
    </x:row>
    <x:row r="19" ht="26" customHeight="1">
      <x:c r="A19" s="2" t="str">
        <x:v>rope_use</x:v>
      </x:c>
      <x:c r="B19" s="2" t="str">
        <x:f>INDEX(effects!$C$2:$C$2001,MATCH($A19,effects!$A$2:$A$2001,0))</x:f>
        <x:v>damage</x:v>
      </x:c>
      <x:c r="C19" s="2" t="str">
        <x:f>INDEX(effects!$B$2:$B$2001,MATCH($A19,effects!$A$2:$A$2001,0))</x:f>
        <x:v>use</x:v>
      </x:c>
      <x:c r="D19" s="19" t="n">
        <x:f>INDEX(effects!$N$2:$N$2001,MATCH($A19,effects!$A$2:$A$2001,0))</x:f>
        <x:v>4</x:v>
      </x:c>
      <x:c r="E19" s="19" t="n">
        <x:f>INDEX(effects!$E$2:$E$2001,MATCH($A19,effects!$A$2:$A$2001,0))</x:f>
        <x:v>4</x:v>
      </x:c>
      <x:c r="F19" s="19" t="n">
        <x:f>E19-D19</x:f>
        <x:v>0</x:v>
      </x:c>
      <x:c r="G19" s="19" t="n">
        <x:f>E19*IF(INDEX(effects!$H$2:$H$2001,MATCH($A19,effects!$A$2:$A$2001,0))&lt;&gt;"flat",INDEX(effects!$I$2:$I$2001,MATCH($A19,effects!$A$2:$A$2001,0)),1)</x:f>
        <x:v>4</x:v>
      </x:c>
      <x:c r="H19" s="2"/>
    </x:row>
    <x:row r="20" ht="26" customHeight="1">
      <x:c r="A20" s="2" t="str">
        <x:v>sandals_use</x:v>
      </x:c>
      <x:c r="B20" s="2" t="str">
        <x:f>INDEX(effects!$C$2:$C$2001,MATCH($A20,effects!$A$2:$A$2001,0))</x:f>
        <x:v>guard</x:v>
      </x:c>
      <x:c r="C20" s="2" t="str">
        <x:f>INDEX(effects!$B$2:$B$2001,MATCH($A20,effects!$A$2:$A$2001,0))</x:f>
        <x:v>use</x:v>
      </x:c>
      <x:c r="D20" s="19" t="n">
        <x:f>INDEX(effects!$N$2:$N$2001,MATCH($A20,effects!$A$2:$A$2001,0))</x:f>
        <x:v>3</x:v>
      </x:c>
      <x:c r="E20" s="19" t="n">
        <x:f>INDEX(effects!$E$2:$E$2001,MATCH($A20,effects!$A$2:$A$2001,0))</x:f>
        <x:v>3</x:v>
      </x:c>
      <x:c r="F20" s="19" t="n">
        <x:f>E20-D20</x:f>
        <x:v>0</x:v>
      </x:c>
      <x:c r="G20" s="19" t="n">
        <x:f>E20*IF(INDEX(effects!$H$2:$H$2001,MATCH($A20,effects!$A$2:$A$2001,0))&lt;&gt;"flat",INDEX(effects!$I$2:$I$2001,MATCH($A20,effects!$A$2:$A$2001,0)),1)</x:f>
        <x:v>3</x:v>
      </x:c>
      <x:c r="H20" s="2"/>
    </x:row>
    <x:row r="21" ht="26" customHeight="1">
      <x:c r="A21" s="2" t="str">
        <x:v>order_use</x:v>
      </x:c>
      <x:c r="B21" s="2" t="str">
        <x:f>INDEX(effects!$C$2:$C$2001,MATCH($A21,effects!$A$2:$A$2001,0))</x:f>
        <x:v>damage</x:v>
      </x:c>
      <x:c r="C21" s="2" t="str">
        <x:f>INDEX(effects!$B$2:$B$2001,MATCH($A21,effects!$A$2:$A$2001,0))</x:f>
        <x:v>use</x:v>
      </x:c>
      <x:c r="D21" s="19" t="n">
        <x:f>INDEX(effects!$N$2:$N$2001,MATCH($A21,effects!$A$2:$A$2001,0))</x:f>
        <x:v>10</x:v>
      </x:c>
      <x:c r="E21" s="19" t="n">
        <x:f>INDEX(effects!$E$2:$E$2001,MATCH($A21,effects!$A$2:$A$2001,0))</x:f>
        <x:v>10</x:v>
      </x:c>
      <x:c r="F21" s="19" t="n">
        <x:f>E21-D21</x:f>
        <x:v>0</x:v>
      </x:c>
      <x:c r="G21" s="19" t="n">
        <x:f>E21*IF(INDEX(effects!$H$2:$H$2001,MATCH($A21,effects!$A$2:$A$2001,0))&lt;&gt;"flat",INDEX(effects!$I$2:$I$2001,MATCH($A21,effects!$A$2:$A$2001,0)),1)</x:f>
        <x:v>10</x:v>
      </x:c>
      <x:c r="H21" s="2"/>
    </x:row>
    <x:row r="22" ht="26" customHeight="1">
      <x:c r="A22" s="2" t="str">
        <x:v>coin_use</x:v>
      </x:c>
      <x:c r="B22" s="2" t="str">
        <x:f>INDEX(effects!$C$2:$C$2001,MATCH($A22,effects!$A$2:$A$2001,0))</x:f>
        <x:v>guard</x:v>
      </x:c>
      <x:c r="C22" s="2" t="str">
        <x:f>INDEX(effects!$B$2:$B$2001,MATCH($A22,effects!$A$2:$A$2001,0))</x:f>
        <x:v>use</x:v>
      </x:c>
      <x:c r="D22" s="19" t="n">
        <x:f>INDEX(effects!$N$2:$N$2001,MATCH($A22,effects!$A$2:$A$2001,0))</x:f>
        <x:v>1</x:v>
      </x:c>
      <x:c r="E22" s="19" t="n">
        <x:f>INDEX(effects!$E$2:$E$2001,MATCH($A22,effects!$A$2:$A$2001,0))</x:f>
        <x:v>1</x:v>
      </x:c>
      <x:c r="F22" s="19" t="n">
        <x:f>E22-D22</x:f>
        <x:v>0</x:v>
      </x:c>
      <x:c r="G22" s="19" t="n">
        <x:f>E22*IF(INDEX(effects!$H$2:$H$2001,MATCH($A22,effects!$A$2:$A$2001,0))&lt;&gt;"flat",INDEX(effects!$I$2:$I$2001,MATCH($A22,effects!$A$2:$A$2001,0)),1)</x:f>
        <x:v>1</x:v>
      </x:c>
      <x:c r="H22" s="2"/>
    </x:row>
    <x:row r="23" ht="26" customHeight="1">
      <x:c r="A23" s="2" t="str">
        <x:v>mirror_use</x:v>
      </x:c>
      <x:c r="B23" s="2" t="str">
        <x:f>INDEX(effects!$C$2:$C$2001,MATCH($A23,effects!$A$2:$A$2001,0))</x:f>
        <x:v>guard</x:v>
      </x:c>
      <x:c r="C23" s="2" t="str">
        <x:f>INDEX(effects!$B$2:$B$2001,MATCH($A23,effects!$A$2:$A$2001,0))</x:f>
        <x:v>use</x:v>
      </x:c>
      <x:c r="D23" s="19" t="n">
        <x:f>INDEX(effects!$N$2:$N$2001,MATCH($A23,effects!$A$2:$A$2001,0))</x:f>
        <x:v>4</x:v>
      </x:c>
      <x:c r="E23" s="19" t="n">
        <x:f>INDEX(effects!$E$2:$E$2001,MATCH($A23,effects!$A$2:$A$2001,0))</x:f>
        <x:v>4</x:v>
      </x:c>
      <x:c r="F23" s="19" t="n">
        <x:f>E23-D23</x:f>
        <x:v>0</x:v>
      </x:c>
      <x:c r="G23" s="19" t="n">
        <x:f>E23*IF(INDEX(effects!$H$2:$H$2001,MATCH($A23,effects!$A$2:$A$2001,0))&lt;&gt;"flat",INDEX(effects!$I$2:$I$2001,MATCH($A23,effects!$A$2:$A$2001,0)),1)</x:f>
        <x:v>4</x:v>
      </x:c>
      <x:c r="H23" s="2"/>
    </x:row>
    <x:row r="24" ht="26" customHeight="1">
      <x:c r="A24" s="2" t="str">
        <x:v>mirror_bonus</x:v>
      </x:c>
      <x:c r="B24" s="2" t="str">
        <x:f>INDEX(effects!$C$2:$C$2001,MATCH($A24,effects!$A$2:$A$2001,0))</x:f>
        <x:v>modify_power</x:v>
      </x:c>
      <x:c r="C24" s="2" t="str">
        <x:f>INDEX(effects!$B$2:$B$2001,MATCH($A24,effects!$A$2:$A$2001,0))</x:f>
        <x:v>modify</x:v>
      </x:c>
      <x:c r="D24" s="19" t="n">
        <x:f>INDEX(effects!$N$2:$N$2001,MATCH($A24,effects!$A$2:$A$2001,0))</x:f>
        <x:v>2</x:v>
      </x:c>
      <x:c r="E24" s="19" t="n">
        <x:f>INDEX(effects!$E$2:$E$2001,MATCH($A24,effects!$A$2:$A$2001,0))</x:f>
        <x:v>2</x:v>
      </x:c>
      <x:c r="F24" s="19" t="n">
        <x:f>E24-D24</x:f>
        <x:v>0</x:v>
      </x:c>
      <x:c r="G24" s="19" t="n">
        <x:f>E24*IF(INDEX(effects!$H$2:$H$2001,MATCH($A24,effects!$A$2:$A$2001,0))&lt;&gt;"flat",INDEX(effects!$I$2:$I$2001,MATCH($A24,effects!$A$2:$A$2001,0)),1)</x:f>
        <x:v>2</x:v>
      </x:c>
      <x:c r="H24" s="2"/>
    </x:row>
    <x:row r="25" ht="26" customHeight="1">
      <x:c r="A25" s="2" t="str">
        <x:v>encounter_1_intent_1</x:v>
      </x:c>
      <x:c r="B25" s="2" t="str">
        <x:f>INDEX(effects!$C$2:$C$2001,MATCH($A25,effects!$A$2:$A$2001,0))</x:f>
        <x:v>damage</x:v>
      </x:c>
      <x:c r="C25" s="2" t="str">
        <x:f>INDEX(effects!$B$2:$B$2001,MATCH($A25,effects!$A$2:$A$2001,0))</x:f>
        <x:v>use</x:v>
      </x:c>
      <x:c r="D25" s="19" t="n">
        <x:f>INDEX(effects!$N$2:$N$2001,MATCH($A25,effects!$A$2:$A$2001,0))</x:f>
        <x:v>5</x:v>
      </x:c>
      <x:c r="E25" s="19" t="n">
        <x:f>INDEX(effects!$E$2:$E$2001,MATCH($A25,effects!$A$2:$A$2001,0))</x:f>
        <x:v>5</x:v>
      </x:c>
      <x:c r="F25" s="19" t="n">
        <x:f>E25-D25</x:f>
        <x:v>0</x:v>
      </x:c>
      <x:c r="G25" s="19" t="n">
        <x:f>E25*IF(INDEX(effects!$H$2:$H$2001,MATCH($A25,effects!$A$2:$A$2001,0))&lt;&gt;"flat",INDEX(effects!$I$2:$I$2001,MATCH($A25,effects!$A$2:$A$2001,0)),1)</x:f>
        <x:v>5</x:v>
      </x:c>
      <x:c r="H25" s="2"/>
    </x:row>
    <x:row r="26" ht="26" customHeight="1">
      <x:c r="A26" s="2" t="str">
        <x:v>encounter_1_intent_2</x:v>
      </x:c>
      <x:c r="B26" s="2" t="str">
        <x:f>INDEX(effects!$C$2:$C$2001,MATCH($A26,effects!$A$2:$A$2001,0))</x:f>
        <x:v>damage</x:v>
      </x:c>
      <x:c r="C26" s="2" t="str">
        <x:f>INDEX(effects!$B$2:$B$2001,MATCH($A26,effects!$A$2:$A$2001,0))</x:f>
        <x:v>use</x:v>
      </x:c>
      <x:c r="D26" s="19" t="n">
        <x:f>INDEX(effects!$N$2:$N$2001,MATCH($A26,effects!$A$2:$A$2001,0))</x:f>
        <x:v>7</x:v>
      </x:c>
      <x:c r="E26" s="19" t="n">
        <x:f>INDEX(effects!$E$2:$E$2001,MATCH($A26,effects!$A$2:$A$2001,0))</x:f>
        <x:v>7</x:v>
      </x:c>
      <x:c r="F26" s="19" t="n">
        <x:f>E26-D26</x:f>
        <x:v>0</x:v>
      </x:c>
      <x:c r="G26" s="19" t="n">
        <x:f>E26*IF(INDEX(effects!$H$2:$H$2001,MATCH($A26,effects!$A$2:$A$2001,0))&lt;&gt;"flat",INDEX(effects!$I$2:$I$2001,MATCH($A26,effects!$A$2:$A$2001,0)),1)</x:f>
        <x:v>7</x:v>
      </x:c>
      <x:c r="H26" s="2"/>
    </x:row>
    <x:row r="27" ht="26" customHeight="1">
      <x:c r="A27" s="2" t="str">
        <x:v>encounter_2_intent_1</x:v>
      </x:c>
      <x:c r="B27" s="2" t="str">
        <x:f>INDEX(effects!$C$2:$C$2001,MATCH($A27,effects!$A$2:$A$2001,0))</x:f>
        <x:v>set_guard</x:v>
      </x:c>
      <x:c r="C27" s="2" t="str">
        <x:f>INDEX(effects!$B$2:$B$2001,MATCH($A27,effects!$A$2:$A$2001,0))</x:f>
        <x:v>use</x:v>
      </x:c>
      <x:c r="D27" s="19" t="n">
        <x:f>INDEX(effects!$N$2:$N$2001,MATCH($A27,effects!$A$2:$A$2001,0))</x:f>
        <x:v>6</x:v>
      </x:c>
      <x:c r="E27" s="19" t="n">
        <x:f>INDEX(effects!$E$2:$E$2001,MATCH($A27,effects!$A$2:$A$2001,0))</x:f>
        <x:v>6</x:v>
      </x:c>
      <x:c r="F27" s="19" t="n">
        <x:f>E27-D27</x:f>
        <x:v>0</x:v>
      </x:c>
      <x:c r="G27" s="19" t="n">
        <x:f>E27*IF(INDEX(effects!$H$2:$H$2001,MATCH($A27,effects!$A$2:$A$2001,0))&lt;&gt;"flat",INDEX(effects!$I$2:$I$2001,MATCH($A27,effects!$A$2:$A$2001,0)),1)</x:f>
        <x:v>6</x:v>
      </x:c>
      <x:c r="H27" s="2"/>
    </x:row>
    <x:row r="28" ht="26" customHeight="1">
      <x:c r="A28" s="2" t="str">
        <x:v>encounter_2_intent_2</x:v>
      </x:c>
      <x:c r="B28" s="2" t="str">
        <x:f>INDEX(effects!$C$2:$C$2001,MATCH($A28,effects!$A$2:$A$2001,0))</x:f>
        <x:v>damage</x:v>
      </x:c>
      <x:c r="C28" s="2" t="str">
        <x:f>INDEX(effects!$B$2:$B$2001,MATCH($A28,effects!$A$2:$A$2001,0))</x:f>
        <x:v>use</x:v>
      </x:c>
      <x:c r="D28" s="19" t="n">
        <x:f>INDEX(effects!$N$2:$N$2001,MATCH($A28,effects!$A$2:$A$2001,0))</x:f>
        <x:v>9</x:v>
      </x:c>
      <x:c r="E28" s="19" t="n">
        <x:f>INDEX(effects!$E$2:$E$2001,MATCH($A28,effects!$A$2:$A$2001,0))</x:f>
        <x:v>9</x:v>
      </x:c>
      <x:c r="F28" s="19" t="n">
        <x:f>E28-D28</x:f>
        <x:v>0</x:v>
      </x:c>
      <x:c r="G28" s="19" t="n">
        <x:f>E28*IF(INDEX(effects!$H$2:$H$2001,MATCH($A28,effects!$A$2:$A$2001,0))&lt;&gt;"flat",INDEX(effects!$I$2:$I$2001,MATCH($A28,effects!$A$2:$A$2001,0)),1)</x:f>
        <x:v>9</x:v>
      </x:c>
      <x:c r="H28" s="2"/>
    </x:row>
    <x:row r="29" ht="26" customHeight="1">
      <x:c r="A29" s="2" t="str">
        <x:v>encounter_3_intent_1</x:v>
      </x:c>
      <x:c r="B29" s="2" t="str">
        <x:f>INDEX(effects!$C$2:$C$2001,MATCH($A29,effects!$A$2:$A$2001,0))</x:f>
        <x:v>damage</x:v>
      </x:c>
      <x:c r="C29" s="2" t="str">
        <x:f>INDEX(effects!$B$2:$B$2001,MATCH($A29,effects!$A$2:$A$2001,0))</x:f>
        <x:v>use</x:v>
      </x:c>
      <x:c r="D29" s="19" t="n">
        <x:f>INDEX(effects!$N$2:$N$2001,MATCH($A29,effects!$A$2:$A$2001,0))</x:f>
        <x:v>6</x:v>
      </x:c>
      <x:c r="E29" s="19" t="n">
        <x:f>INDEX(effects!$E$2:$E$2001,MATCH($A29,effects!$A$2:$A$2001,0))</x:f>
        <x:v>6</x:v>
      </x:c>
      <x:c r="F29" s="19" t="n">
        <x:f>E29-D29</x:f>
        <x:v>0</x:v>
      </x:c>
      <x:c r="G29" s="19" t="n">
        <x:f>E29*IF(INDEX(effects!$H$2:$H$2001,MATCH($A29,effects!$A$2:$A$2001,0))&lt;&gt;"flat",INDEX(effects!$I$2:$I$2001,MATCH($A29,effects!$A$2:$A$2001,0)),1)</x:f>
        <x:v>6</x:v>
      </x:c>
      <x:c r="H29" s="2"/>
    </x:row>
    <x:row r="30" ht="26" customHeight="1">
      <x:c r="A30" s="2" t="str">
        <x:v>encounter_3_intent_2</x:v>
      </x:c>
      <x:c r="B30" s="2" t="str">
        <x:f>INDEX(effects!$C$2:$C$2001,MATCH($A30,effects!$A$2:$A$2001,0))</x:f>
        <x:v>damage</x:v>
      </x:c>
      <x:c r="C30" s="2" t="str">
        <x:f>INDEX(effects!$B$2:$B$2001,MATCH($A30,effects!$A$2:$A$2001,0))</x:f>
        <x:v>use</x:v>
      </x:c>
      <x:c r="D30" s="19" t="n">
        <x:f>INDEX(effects!$N$2:$N$2001,MATCH($A30,effects!$A$2:$A$2001,0))</x:f>
        <x:v>10</x:v>
      </x:c>
      <x:c r="E30" s="19" t="n">
        <x:f>INDEX(effects!$E$2:$E$2001,MATCH($A30,effects!$A$2:$A$2001,0))</x:f>
        <x:v>10</x:v>
      </x:c>
      <x:c r="F30" s="19" t="n">
        <x:f>E30-D30</x:f>
        <x:v>0</x:v>
      </x:c>
      <x:c r="G30" s="19" t="n">
        <x:f>E30*IF(INDEX(effects!$H$2:$H$2001,MATCH($A30,effects!$A$2:$A$2001,0))&lt;&gt;"flat",INDEX(effects!$I$2:$I$2001,MATCH($A30,effects!$A$2:$A$2001,0)),1)</x:f>
        <x:v>10</x:v>
      </x:c>
      <x:c r="H30" s="2"/>
    </x:row>
    <x:row r="31" ht="26" customHeight="1">
      <x:c r="A31" s="2" t="str">
        <x:v>encounter_3_intent_3</x:v>
      </x:c>
      <x:c r="B31" s="2" t="str">
        <x:f>INDEX(effects!$C$2:$C$2001,MATCH($A31,effects!$A$2:$A$2001,0))</x:f>
        <x:v>set_guard</x:v>
      </x:c>
      <x:c r="C31" s="2" t="str">
        <x:f>INDEX(effects!$B$2:$B$2001,MATCH($A31,effects!$A$2:$A$2001,0))</x:f>
        <x:v>use</x:v>
      </x:c>
      <x:c r="D31" s="19" t="n">
        <x:f>INDEX(effects!$N$2:$N$2001,MATCH($A31,effects!$A$2:$A$2001,0))</x:f>
        <x:v>8</x:v>
      </x:c>
      <x:c r="E31" s="19" t="n">
        <x:f>INDEX(effects!$E$2:$E$2001,MATCH($A31,effects!$A$2:$A$2001,0))</x:f>
        <x:v>8</x:v>
      </x:c>
      <x:c r="F31" s="19" t="n">
        <x:f>E31-D31</x:f>
        <x:v>0</x:v>
      </x:c>
      <x:c r="G31" s="19" t="n">
        <x:f>E31*IF(INDEX(effects!$H$2:$H$2001,MATCH($A31,effects!$A$2:$A$2001,0))&lt;&gt;"flat",INDEX(effects!$I$2:$I$2001,MATCH($A31,effects!$A$2:$A$2001,0)),1)</x:f>
        <x:v>8</x:v>
      </x:c>
      <x:c r="H31" s="2"/>
    </x:row>
    <x:row r="32" ht="26" customHeight="1">
      <x:c r="A32" s="2" t="str">
        <x:v>jade_diagonal_factor</x:v>
      </x:c>
      <x:c r="B32" s="2" t="str">
        <x:f>INDEX(effects!$C$2:$C$2001,MATCH($A32,effects!$A$2:$A$2001,0))</x:f>
        <x:v>multiply_power</x:v>
      </x:c>
      <x:c r="C32" s="2" t="str">
        <x:f>INDEX(effects!$B$2:$B$2001,MATCH($A32,effects!$A$2:$A$2001,0))</x:f>
        <x:v>modify</x:v>
      </x:c>
      <x:c r="D32" s="19" t="n">
        <x:f>INDEX(effects!$N$2:$N$2001,MATCH($A32,effects!$A$2:$A$2001,0))</x:f>
        <x:v>2</x:v>
      </x:c>
      <x:c r="E32" s="19" t="n">
        <x:f>INDEX(effects!$E$2:$E$2001,MATCH($A32,effects!$A$2:$A$2001,0))</x:f>
        <x:v>2</x:v>
      </x:c>
      <x:c r="F32" s="19" t="n">
        <x:f>E32-D32</x:f>
        <x:v>0</x:v>
      </x:c>
      <x:c r="G32" s="19" t="n">
        <x:f>E32*IF(INDEX(effects!$H$2:$H$2001,MATCH($A32,effects!$A$2:$A$2001,0))&lt;&gt;"flat",INDEX(effects!$I$2:$I$2001,MATCH($A32,effects!$A$2:$A$2001,0)),1)</x:f>
        <x:v>2</x:v>
      </x:c>
      <x:c r="H32" s="2"/>
    </x:row>
    <x:row r="33" ht="26" customHeight="1">
      <x:c r="A33" s="2" t="str">
        <x:v>arang_pain_reaction</x:v>
      </x:c>
      <x:c r="B33" s="2" t="str">
        <x:f>INDEX(effects!$C$2:$C$2001,MATCH($A33,effects!$A$2:$A$2001,0))</x:f>
        <x:v>damage</x:v>
      </x:c>
      <x:c r="C33" s="2" t="str">
        <x:f>INDEX(effects!$B$2:$B$2001,MATCH($A33,effects!$A$2:$A$2001,0))</x:f>
        <x:v>damage_taken</x:v>
      </x:c>
      <x:c r="D33" s="19" t="n">
        <x:f>INDEX(effects!$N$2:$N$2001,MATCH($A33,effects!$A$2:$A$2001,0))</x:f>
        <x:v>2</x:v>
      </x:c>
      <x:c r="E33" s="19" t="n">
        <x:f>INDEX(effects!$E$2:$E$2001,MATCH($A33,effects!$A$2:$A$2001,0))</x:f>
        <x:v>2</x:v>
      </x:c>
      <x:c r="F33" s="19" t="n">
        <x:f>E33-D33</x:f>
        <x:v>0</x:v>
      </x:c>
      <x:c r="G33" s="19" t="n">
        <x:f>E33*IF(INDEX(effects!$H$2:$H$2001,MATCH($A33,effects!$A$2:$A$2001,0))&lt;&gt;"flat",INDEX(effects!$I$2:$I$2001,MATCH($A33,effects!$A$2:$A$2001,0)),1)</x:f>
        <x:v>2</x:v>
      </x:c>
      <x:c r="H33" s="2"/>
    </x:row>
    <x:row r="34" ht="26" customHeight="1">
      <x:c r="A34" s="2" t="str">
        <x:v>최대값은 인접 수 상한만 반영합니다. 기력·중첩·전투 결과는 Godot에서 검증합니다.</x:v>
      </x:c>
      <x:c r="B34" s="2"/>
      <x:c r="C34" s="2"/>
      <x:c r="D34" s="2"/>
      <x:c r="E34" s="2"/>
      <x:c r="F34" s="2"/>
      <x:c r="G34" s="2"/>
      <x:c r="H34" s="2"/>
    </x:row>
    <x:row r="35" ht="26" customHeight="1">
      <x:c r="A35" s="2" t="str">
        <x:v>출처: 기존 아이템 12종·적 3종. 초기 지급 7개, 길목 보상 2회. 기본 배율 1.00x.</x:v>
      </x:c>
      <x:c r="B35" s="2"/>
      <x:c r="C35" s="2"/>
      <x:c r="D35" s="2"/>
      <x:c r="E35" s="2"/>
      <x:c r="F35" s="2"/>
      <x:c r="G35" s="2"/>
      <x:c r="H35" s="2"/>
    </x:row>
  </x:sheetData>
  <x:conditionalFormatting sqref="F13:F31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5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6" hidden="0" customWidth="1"/>
  </x:cols>
  <x:sheetData>
    <x:row r="1" ht="34" customHeight="1">
      <x:c r="A1" s="11" t="str">
        <x:v>id</x:v>
      </x:c>
      <x:c r="B1" s="11" t="str">
        <x:v>display_name</x:v>
      </x:c>
      <x:c r="C1" s="11" t="str">
        <x:v>description</x:v>
      </x:c>
      <x:c r="D1" s="11" t="str">
        <x:v>footprint</x:v>
      </x:c>
      <x:c r="E1" s="11" t="str">
        <x:v>tags</x:v>
      </x:c>
      <x:c r="F1" s="11" t="str">
        <x:v>cost</x:v>
      </x:c>
      <x:c r="G1" s="11" t="str">
        <x:v>uses_per_turn</x:v>
      </x:c>
      <x:c r="H1" s="11" t="str">
        <x:v>consumable</x:v>
      </x:c>
      <x:c r="I1" s="11" t="str">
        <x:v>icon_id</x:v>
      </x:c>
      <x:c r="J1" s="11" t="str">
        <x:v>effect_ids</x:v>
      </x:c>
    </x:row>
    <x:row r="2" ht="48" customHeight="1">
      <x:c r="A2" s="9" t="str">
        <x:v>sword</x:v>
      </x:c>
      <x:c r="B2" s="9" t="str">
        <x:v>Sain Sword</x:v>
      </x:c>
      <x:c r="C2" s="12" t="str">
        <x:v>An old sword whose power changes with nearby items.</x:v>
      </x:c>
      <x:c r="D2" s="9" t="str">
        <x:v>0:0|0:1|0:2</x:v>
      </x:c>
      <x:c r="E2" s="9" t="str">
        <x:v>weapon</x:v>
      </x:c>
      <x:c r="F2" s="13" t="n">
        <x:v>1</x:v>
      </x:c>
      <x:c r="G2" s="13" t="n">
        <x:v>1</x:v>
      </x:c>
      <x:c r="H2" s="10" t="b">
        <x:v>0</x:v>
      </x:c>
      <x:c r="I2" s="9" t="str">
        <x:v>sword</x:v>
      </x:c>
      <x:c r="J2" s="12" t="str">
        <x:v>sword_use</x:v>
      </x:c>
    </x:row>
    <x:row r="3" ht="48" customHeight="1">
      <x:c r="A3" s="9" t="str">
        <x:v>seal</x:v>
      </x:c>
      <x:c r="B3" s="9" t="str">
        <x:v>Sealing Talisman</x:v>
      </x:c>
      <x:c r="C3" s="12" t="str">
        <x:v>Strengthens weapons directly adjacent to it.</x:v>
      </x:c>
      <x:c r="D3" s="9" t="str">
        <x:v>0:0</x:v>
      </x:c>
      <x:c r="E3" s="9" t="str">
        <x:v>talisman</x:v>
      </x:c>
      <x:c r="F3" s="13" t="n">
        <x:v>0</x:v>
      </x:c>
      <x:c r="G3" s="13" t="n">
        <x:v>1</x:v>
      </x:c>
      <x:c r="H3" s="10" t="b">
        <x:v>0</x:v>
      </x:c>
      <x:c r="I3" s="9" t="str">
        <x:v>seal</x:v>
      </x:c>
      <x:c r="J3" s="12" t="str">
        <x:v>seal_bonus</x:v>
      </x:c>
    </x:row>
    <x:row r="4" ht="48" customHeight="1">
      <x:c r="A4" s="9" t="str">
        <x:v>lantern</x:v>
      </x:c>
      <x:c r="B4" s="9" t="str">
        <x:v>Soul Lantern</x:v>
      </x:c>
      <x:c r="C4" s="12" t="str">
        <x:v>Lights the way for the belongings of the dead.</x:v>
      </x:c>
      <x:c r="D4" s="9" t="str">
        <x:v>0:0|0:1</x:v>
      </x:c>
      <x:c r="E4" s="9" t="str">
        <x:v>lantern</x:v>
      </x:c>
      <x:c r="F4" s="13" t="n">
        <x:v>0</x:v>
      </x:c>
      <x:c r="G4" s="13" t="n">
        <x:v>1</x:v>
      </x:c>
      <x:c r="H4" s="10" t="b">
        <x:v>0</x:v>
      </x:c>
      <x:c r="I4" s="9" t="str">
        <x:v>lantern</x:v>
      </x:c>
      <x:c r="J4" s="12" t="str">
        <x:v>lantern_guard</x:v>
      </x:c>
    </x:row>
    <x:row r="5" ht="48" customHeight="1">
      <x:c r="A5" s="9" t="str">
        <x:v>ring</x:v>
      </x:c>
      <x:c r="B5" s="9" t="str">
        <x:v>Jade Ring</x:v>
      </x:c>
      <x:c r="C5" s="12" t="str">
        <x:v>Doubles the attack power of weapons diagonally adjacent.</x:v>
      </x:c>
      <x:c r="D5" s="9" t="str">
        <x:v>0:0</x:v>
      </x:c>
      <x:c r="E5" s="9" t="str">
        <x:v>keepsake</x:v>
      </x:c>
      <x:c r="F5" s="13" t="n">
        <x:v>0</x:v>
      </x:c>
      <x:c r="G5" s="13" t="n">
        <x:v>1</x:v>
      </x:c>
      <x:c r="H5" s="10" t="b">
        <x:v>0</x:v>
      </x:c>
      <x:c r="I5" s="9" t="str">
        <x:v>ring</x:v>
      </x:c>
      <x:c r="J5" s="12" t="str">
        <x:v>jade_diagonal_factor</x:v>
      </x:c>
    </x:row>
    <x:row r="6" ht="48" customHeight="1">
      <x:c r="A6" s="9" t="str">
        <x:v>hat</x:v>
      </x:c>
      <x:c r="B6" s="9" t="str">
        <x:v>Worn Gat</x:v>
      </x:c>
      <x:c r="C6" s="12" t="str">
        <x:v>Blocks damage until the next enemy action. Its wide brim takes up space.</x:v>
      </x:c>
      <x:c r="D6" s="9" t="str">
        <x:v>0:0|1:0|0:1|1:1</x:v>
      </x:c>
      <x:c r="E6" s="9" t="str"/>
      <x:c r="F6" s="13" t="n">
        <x:v>1</x:v>
      </x:c>
      <x:c r="G6" s="13" t="n">
        <x:v>1</x:v>
      </x:c>
      <x:c r="H6" s="10" t="b">
        <x:v>0</x:v>
      </x:c>
      <x:c r="I6" s="9" t="str">
        <x:v>hat</x:v>
      </x:c>
      <x:c r="J6" s="12" t="str">
        <x:v>hat_use</x:v>
      </x:c>
    </x:row>
    <x:row r="7" ht="48" customHeight="1">
      <x:c r="A7" s="9" t="str">
        <x:v>bell</x:v>
      </x:c>
      <x:c r="B7" s="9" t="str">
        <x:v>Guide Bell</x:v>
      </x:c>
      <x:c r="C7" s="12" t="str">
        <x:v>A compact extra attack. It has no weapon tag and cannot receive talisman bonuses.</x:v>
      </x:c>
      <x:c r="D7" s="9" t="str">
        <x:v>0:0</x:v>
      </x:c>
      <x:c r="E7" s="9" t="str"/>
      <x:c r="F7" s="13" t="n">
        <x:v>1</x:v>
      </x:c>
      <x:c r="G7" s="13" t="n">
        <x:v>1</x:v>
      </x:c>
      <x:c r="H7" s="10" t="b">
        <x:v>0</x:v>
      </x:c>
      <x:c r="I7" s="9" t="str">
        <x:v>bell</x:v>
      </x:c>
      <x:c r="J7" s="12" t="str">
        <x:v>bell_use</x:v>
      </x:c>
    </x:row>
    <x:row r="8" ht="48" customHeight="1">
      <x:c r="A8" s="9" t="str">
        <x:v>yakgwa</x:v>
      </x:c>
      <x:c r="B8" s="9" t="str">
        <x:v>Small Yakgwa</x:v>
      </x:c>
      <x:c r="C8" s="12" t="str">
        <x:v>A one-use honey pastry. Once eaten, its space is freed permanently.</x:v>
      </x:c>
      <x:c r="D8" s="9" t="str">
        <x:v>0:0</x:v>
      </x:c>
      <x:c r="E8" s="9" t="str"/>
      <x:c r="F8" s="13" t="n">
        <x:v>0</x:v>
      </x:c>
      <x:c r="G8" s="13" t="n">
        <x:v>1</x:v>
      </x:c>
      <x:c r="H8" s="10" t="b">
        <x:v>1</x:v>
      </x:c>
      <x:c r="I8" s="9" t="str">
        <x:v>yakgwa</x:v>
      </x:c>
      <x:c r="J8" s="12" t="str">
        <x:v>yakgwa_use</x:v>
      </x:c>
    </x:row>
    <x:row r="9" ht="48" customHeight="1">
      <x:c r="A9" s="9" t="str">
        <x:v>rope</x:v>
      </x:c>
      <x:c r="B9" s="9" t="str">
        <x:v>Binding Rope</x:v>
      </x:c>
      <x:c r="C9" s="12" t="str">
        <x:v>A bent weapon. Rotate it to fit gaps and use adjacency bonuses.</x:v>
      </x:c>
      <x:c r="D9" s="9" t="str">
        <x:v>0:0|0:1|1:1</x:v>
      </x:c>
      <x:c r="E9" s="9" t="str">
        <x:v>weapon</x:v>
      </x:c>
      <x:c r="F9" s="13" t="n">
        <x:v>1</x:v>
      </x:c>
      <x:c r="G9" s="13" t="n">
        <x:v>1</x:v>
      </x:c>
      <x:c r="H9" s="10" t="b">
        <x:v>0</x:v>
      </x:c>
      <x:c r="I9" s="9" t="str">
        <x:v>rope</x:v>
      </x:c>
      <x:c r="J9" s="12" t="str">
        <x:v>rope_use</x:v>
      </x:c>
    </x:row>
    <x:row r="10" ht="48" customHeight="1">
      <x:c r="A10" s="9" t="str">
        <x:v>sandals</x:v>
      </x:c>
      <x:c r="B10" s="9" t="str">
        <x:v>Straw Shoes</x:v>
      </x:c>
      <x:c r="C10" s="12" t="str">
        <x:v>A compact defense tool that leaves more room for other items.</x:v>
      </x:c>
      <x:c r="D10" s="9" t="str">
        <x:v>0:0|0:1</x:v>
      </x:c>
      <x:c r="E10" s="9" t="str"/>
      <x:c r="F10" s="13" t="n">
        <x:v>1</x:v>
      </x:c>
      <x:c r="G10" s="13" t="n">
        <x:v>1</x:v>
      </x:c>
      <x:c r="H10" s="10" t="b">
        <x:v>0</x:v>
      </x:c>
      <x:c r="I10" s="9" t="str">
        <x:v>sandals</x:v>
      </x:c>
      <x:c r="J10" s="12" t="str">
        <x:v>sandals_use</x:v>
      </x:c>
    </x:row>
    <x:row r="11" ht="48" customHeight="1">
      <x:c r="A11" s="9" t="str">
        <x:v>order</x:v>
      </x:c>
      <x:c r="B11" s="9" t="str">
        <x:v>Reaper Writ</x:v>
      </x:c>
      <x:c r="C11" s="12" t="str">
        <x:v>A delivery order with a powerful attack that requires careful energy management.</x:v>
      </x:c>
      <x:c r="D11" s="9" t="str">
        <x:v>0:0|0:1</x:v>
      </x:c>
      <x:c r="E11" s="9" t="str"/>
      <x:c r="F11" s="13" t="n">
        <x:v>2</x:v>
      </x:c>
      <x:c r="G11" s="13" t="n">
        <x:v>1</x:v>
      </x:c>
      <x:c r="H11" s="10" t="b">
        <x:v>0</x:v>
      </x:c>
      <x:c r="I11" s="9" t="str">
        <x:v>order</x:v>
      </x:c>
      <x:c r="J11" s="12" t="str">
        <x:v>order_use</x:v>
      </x:c>
    </x:row>
    <x:row r="12" ht="48" customHeight="1">
      <x:c r="A12" s="9" t="str">
        <x:v>coin</x:v>
      </x:c>
      <x:c r="B12" s="9" t="str">
        <x:v>Forgotten Coin</x:v>
      </x:c>
      <x:c r="C12" s="12" t="str">
        <x:v>A keepsake that gives a little defense without spending energy.</x:v>
      </x:c>
      <x:c r="D12" s="9" t="str">
        <x:v>0:0</x:v>
      </x:c>
      <x:c r="E12" s="9" t="str">
        <x:v>keepsake</x:v>
      </x:c>
      <x:c r="F12" s="13" t="n">
        <x:v>0</x:v>
      </x:c>
      <x:c r="G12" s="13" t="n">
        <x:v>1</x:v>
      </x:c>
      <x:c r="H12" s="10" t="b">
        <x:v>0</x:v>
      </x:c>
      <x:c r="I12" s="9" t="str">
        <x:v>coin</x:v>
      </x:c>
      <x:c r="J12" s="12" t="str">
        <x:v>coin_use</x:v>
      </x:c>
    </x:row>
    <x:row r="13" ht="48" customHeight="1">
      <x:c r="A13" s="9" t="str">
        <x:v>mirror</x:v>
      </x:c>
      <x:c r="B13" s="9" t="str">
        <x:v>Bloodstained Mirror</x:v>
      </x:c>
      <x:c r="C13" s="12" t="str">
        <x:v>A mirror found in the bamboo grove, holding someone's last memories.</x:v>
      </x:c>
      <x:c r="D13" s="9" t="str">
        <x:v>0:0|1:0</x:v>
      </x:c>
      <x:c r="E13" s="9" t="str"/>
      <x:c r="F13" s="13" t="n">
        <x:v>1</x:v>
      </x:c>
      <x:c r="G13" s="13" t="n">
        <x:v>1</x:v>
      </x:c>
      <x:c r="H13" s="10" t="b">
        <x:v>0</x:v>
      </x:c>
      <x:c r="I13" s="9" t="str">
        <x:v>mirror</x:v>
      </x:c>
      <x:c r="J13" s="12" t="str">
        <x:v>mirror_use|mirror_bonus</x:v>
      </x:c>
    </x:row>
  </x:sheetData>
  <x:dataValidations count="2">
    <x:dataValidation type="whole" operator="between" sqref="F2:F2001">
      <x:formula1>0</x:formula1>
      <x:formula2>100</x:formula2>
    </x:dataValidation>
    <x:dataValidation type="whole" operator="between" sqref="G2:G2001">
      <x:formula1>1</x:formula1>
      <x:formula2>128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1ef7176e45d47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4" customHeight="1">
      <x:c r="A1" s="11" t="str">
        <x:v>id</x:v>
      </x:c>
      <x:c r="B1" s="11" t="str">
        <x:v>trigger</x:v>
      </x:c>
      <x:c r="C1" s="11" t="str">
        <x:v>operation</x:v>
      </x:c>
      <x:c r="D1" s="11" t="str">
        <x:v>target</x:v>
      </x:c>
      <x:c r="E1" s="11" t="str">
        <x:v>amount</x:v>
      </x:c>
      <x:c r="F1" s="11" t="str">
        <x:v>required_tags</x:v>
      </x:c>
      <x:c r="G1" s="11" t="str">
        <x:v>condition_tags</x:v>
      </x:c>
      <x:c r="H1" s="11" t="str">
        <x:v>scale</x:v>
      </x:c>
      <x:c r="I1" s="11" t="str">
        <x:v>max_matches</x:v>
      </x:c>
      <x:c r="J1" s="11" t="str">
        <x:v>affects</x:v>
      </x:c>
      <x:c r="K1" s="11" t="str">
        <x:v>stack_group</x:v>
      </x:c>
      <x:c r="L1" s="11" t="str">
        <x:v>max_per_action</x:v>
      </x:c>
      <x:c r="M1" s="11" t="str">
        <x:v>priority</x:v>
      </x:c>
      <x:c r="N1" s="11" t="str">
        <x:v>_base_amount</x:v>
      </x:c>
    </x:row>
    <x:row r="2" ht="28" customHeight="1">
      <x:c r="A2" s="9" t="str">
        <x:v>sword_use</x:v>
      </x:c>
      <x:c r="B2" s="9" t="str">
        <x:v>use</x:v>
      </x:c>
      <x:c r="C2" s="9" t="str">
        <x:v>damage</x:v>
      </x:c>
      <x:c r="D2" s="9" t="str">
        <x:v>opponent</x:v>
      </x:c>
      <x:c r="E2" s="22" t="n">
        <x:f>IF(A2="","",IF(C2="multiply_power",N2,ROUND(N2*INDEX(Balance!$B$5:$B$8,MATCH(IF(C2="modify_power",J2,C2),Balance!$A$5:$A$8,0)),0)))</x:f>
        <x:v>6</x:v>
      </x:c>
      <x:c r="F2" s="9" t="str"/>
      <x:c r="G2" s="9" t="str"/>
      <x:c r="H2" s="9" t="str">
        <x:v>flat</x:v>
      </x:c>
      <x:c r="I2" s="13" t="n">
        <x:v>1</x:v>
      </x:c>
      <x:c r="J2" s="9" t="str"/>
      <x:c r="K2" s="9" t="str"/>
      <x:c r="L2" s="13" t="n">
        <x:v>1</x:v>
      </x:c>
      <x:c r="M2" s="13" t="n">
        <x:v>0</x:v>
      </x:c>
      <x:c r="N2" s="9" t="n">
        <x:v>6</x:v>
      </x:c>
    </x:row>
    <x:row r="3" ht="28" customHeight="1">
      <x:c r="A3" s="9" t="str">
        <x:v>seal_bonus</x:v>
      </x:c>
      <x:c r="B3" s="9" t="str">
        <x:v>modify</x:v>
      </x:c>
      <x:c r="C3" s="9" t="str">
        <x:v>modify_power</x:v>
      </x:c>
      <x:c r="D3" s="9" t="str">
        <x:v>adjacent_items</x:v>
      </x:c>
      <x:c r="E3" s="22" t="n">
        <x:f>IF(A3="","",IF(C3="multiply_power",N3,ROUND(N3*INDEX(Balance!$B$5:$B$8,MATCH(IF(C3="modify_power",J3,C3),Balance!$A$5:$A$8,0)),0)))</x:f>
        <x:v>2</x:v>
      </x:c>
      <x:c r="F3" s="9" t="str">
        <x:v>weapon</x:v>
      </x:c>
      <x:c r="G3" s="9" t="str"/>
      <x:c r="H3" s="9" t="str">
        <x:v>flat</x:v>
      </x:c>
      <x:c r="I3" s="13" t="n">
        <x:v>1</x:v>
      </x:c>
      <x:c r="J3" s="9" t="str">
        <x:v>damage</x:v>
      </x:c>
      <x:c r="K3" s="9" t="str">
        <x:v>seal_bonus</x:v>
      </x:c>
      <x:c r="L3" s="13" t="n">
        <x:v>1</x:v>
      </x:c>
      <x:c r="M3" s="13" t="n">
        <x:v>0</x:v>
      </x:c>
      <x:c r="N3" s="9" t="n">
        <x:v>2</x:v>
      </x:c>
    </x:row>
    <x:row r="4" ht="28" customHeight="1">
      <x:c r="A4" s="9" t="str">
        <x:v>lantern_guard</x:v>
      </x:c>
      <x:c r="B4" s="9" t="str">
        <x:v>turn_end</x:v>
      </x:c>
      <x:c r="C4" s="9" t="str">
        <x:v>guard</x:v>
      </x:c>
      <x:c r="D4" s="9" t="str">
        <x:v>self</x:v>
      </x:c>
      <x:c r="E4" s="22" t="n">
        <x:f>IF(A4="","",IF(C4="multiply_power",N4,ROUND(N4*INDEX(Balance!$B$5:$B$8,MATCH(IF(C4="modify_power",J4,C4),Balance!$A$5:$A$8,0)),0)))</x:f>
        <x:v>4</x:v>
      </x:c>
      <x:c r="F4" s="9" t="str"/>
      <x:c r="G4" s="9" t="str">
        <x:v>keepsake</x:v>
      </x:c>
      <x:c r="H4" s="9" t="str">
        <x:v>per_adjacent</x:v>
      </x:c>
      <x:c r="I4" s="13" t="n">
        <x:v>2</x:v>
      </x:c>
      <x:c r="J4" s="9" t="str"/>
      <x:c r="K4" s="9" t="str"/>
      <x:c r="L4" s="13" t="n">
        <x:v>1</x:v>
      </x:c>
      <x:c r="M4" s="13" t="n">
        <x:v>0</x:v>
      </x:c>
      <x:c r="N4" s="9" t="n">
        <x:v>4</x:v>
      </x:c>
    </x:row>
    <x:row r="5" ht="28" customHeight="1">
      <x:c r="A5" s="9" t="str">
        <x:v>hat_use</x:v>
      </x:c>
      <x:c r="B5" s="9" t="str">
        <x:v>use</x:v>
      </x:c>
      <x:c r="C5" s="9" t="str">
        <x:v>guard</x:v>
      </x:c>
      <x:c r="D5" s="9" t="str">
        <x:v>self</x:v>
      </x:c>
      <x:c r="E5" s="22" t="n">
        <x:f>IF(A5="","",IF(C5="multiply_power",N5,ROUND(N5*INDEX(Balance!$B$5:$B$8,MATCH(IF(C5="modify_power",J5,C5),Balance!$A$5:$A$8,0)),0)))</x:f>
        <x:v>5</x:v>
      </x:c>
      <x:c r="F5" s="9" t="str"/>
      <x:c r="G5" s="9" t="str"/>
      <x:c r="H5" s="9" t="str">
        <x:v>flat</x:v>
      </x:c>
      <x:c r="I5" s="13" t="n">
        <x:v>1</x:v>
      </x:c>
      <x:c r="J5" s="9" t="str"/>
      <x:c r="K5" s="9" t="str"/>
      <x:c r="L5" s="13" t="n">
        <x:v>1</x:v>
      </x:c>
      <x:c r="M5" s="13" t="n">
        <x:v>0</x:v>
      </x:c>
      <x:c r="N5" s="9" t="n">
        <x:v>5</x:v>
      </x:c>
    </x:row>
    <x:row r="6" ht="28" customHeight="1">
      <x:c r="A6" s="9" t="str">
        <x:v>bell_use</x:v>
      </x:c>
      <x:c r="B6" s="9" t="str">
        <x:v>use</x:v>
      </x:c>
      <x:c r="C6" s="9" t="str">
        <x:v>damage</x:v>
      </x:c>
      <x:c r="D6" s="9" t="str">
        <x:v>opponent</x:v>
      </x:c>
      <x:c r="E6" s="22" t="n">
        <x:f>IF(A6="","",IF(C6="multiply_power",N6,ROUND(N6*INDEX(Balance!$B$5:$B$8,MATCH(IF(C6="modify_power",J6,C6),Balance!$A$5:$A$8,0)),0)))</x:f>
        <x:v>3</x:v>
      </x:c>
      <x:c r="F6" s="9" t="str"/>
      <x:c r="G6" s="9" t="str"/>
      <x:c r="H6" s="9" t="str">
        <x:v>flat</x:v>
      </x:c>
      <x:c r="I6" s="13" t="n">
        <x:v>1</x:v>
      </x:c>
      <x:c r="J6" s="9" t="str"/>
      <x:c r="K6" s="9" t="str"/>
      <x:c r="L6" s="13" t="n">
        <x:v>1</x:v>
      </x:c>
      <x:c r="M6" s="13" t="n">
        <x:v>0</x:v>
      </x:c>
      <x:c r="N6" s="9" t="n">
        <x:v>3</x:v>
      </x:c>
    </x:row>
    <x:row r="7" ht="28" customHeight="1">
      <x:c r="A7" s="9" t="str">
        <x:v>yakgwa_use</x:v>
      </x:c>
      <x:c r="B7" s="9" t="str">
        <x:v>use</x:v>
      </x:c>
      <x:c r="C7" s="9" t="str">
        <x:v>heal</x:v>
      </x:c>
      <x:c r="D7" s="9" t="str">
        <x:v>self</x:v>
      </x:c>
      <x:c r="E7" s="22" t="n">
        <x:f>IF(A7="","",IF(C7="multiply_power",N7,ROUND(N7*INDEX(Balance!$B$5:$B$8,MATCH(IF(C7="modify_power",J7,C7),Balance!$A$5:$A$8,0)),0)))</x:f>
        <x:v>7</x:v>
      </x:c>
      <x:c r="F7" s="9" t="str"/>
      <x:c r="G7" s="9" t="str"/>
      <x:c r="H7" s="9" t="str">
        <x:v>flat</x:v>
      </x:c>
      <x:c r="I7" s="13" t="n">
        <x:v>1</x:v>
      </x:c>
      <x:c r="J7" s="9" t="str"/>
      <x:c r="K7" s="9" t="str"/>
      <x:c r="L7" s="13" t="n">
        <x:v>1</x:v>
      </x:c>
      <x:c r="M7" s="13" t="n">
        <x:v>0</x:v>
      </x:c>
      <x:c r="N7" s="9" t="n">
        <x:v>7</x:v>
      </x:c>
    </x:row>
    <x:row r="8" ht="28" customHeight="1">
      <x:c r="A8" s="9" t="str">
        <x:v>rope_use</x:v>
      </x:c>
      <x:c r="B8" s="9" t="str">
        <x:v>use</x:v>
      </x:c>
      <x:c r="C8" s="9" t="str">
        <x:v>damage</x:v>
      </x:c>
      <x:c r="D8" s="9" t="str">
        <x:v>opponent</x:v>
      </x:c>
      <x:c r="E8" s="22" t="n">
        <x:f>IF(A8="","",IF(C8="multiply_power",N8,ROUND(N8*INDEX(Balance!$B$5:$B$8,MATCH(IF(C8="modify_power",J8,C8),Balance!$A$5:$A$8,0)),0)))</x:f>
        <x:v>4</x:v>
      </x:c>
      <x:c r="F8" s="9" t="str"/>
      <x:c r="G8" s="9" t="str"/>
      <x:c r="H8" s="9" t="str">
        <x:v>flat</x:v>
      </x:c>
      <x:c r="I8" s="13" t="n">
        <x:v>1</x:v>
      </x:c>
      <x:c r="J8" s="9" t="str"/>
      <x:c r="K8" s="9" t="str"/>
      <x:c r="L8" s="13" t="n">
        <x:v>1</x:v>
      </x:c>
      <x:c r="M8" s="13" t="n">
        <x:v>0</x:v>
      </x:c>
      <x:c r="N8" s="9" t="n">
        <x:v>4</x:v>
      </x:c>
    </x:row>
    <x:row r="9" ht="28" customHeight="1">
      <x:c r="A9" s="9" t="str">
        <x:v>sandals_use</x:v>
      </x:c>
      <x:c r="B9" s="9" t="str">
        <x:v>use</x:v>
      </x:c>
      <x:c r="C9" s="9" t="str">
        <x:v>guard</x:v>
      </x:c>
      <x:c r="D9" s="9" t="str">
        <x:v>self</x:v>
      </x:c>
      <x:c r="E9" s="22" t="n">
        <x:f>IF(A9="","",IF(C9="multiply_power",N9,ROUND(N9*INDEX(Balance!$B$5:$B$8,MATCH(IF(C9="modify_power",J9,C9),Balance!$A$5:$A$8,0)),0)))</x:f>
        <x:v>3</x:v>
      </x:c>
      <x:c r="F9" s="9" t="str"/>
      <x:c r="G9" s="9" t="str"/>
      <x:c r="H9" s="9" t="str">
        <x:v>flat</x:v>
      </x:c>
      <x:c r="I9" s="13" t="n">
        <x:v>1</x:v>
      </x:c>
      <x:c r="J9" s="9" t="str"/>
      <x:c r="K9" s="9" t="str"/>
      <x:c r="L9" s="13" t="n">
        <x:v>1</x:v>
      </x:c>
      <x:c r="M9" s="13" t="n">
        <x:v>0</x:v>
      </x:c>
      <x:c r="N9" s="9" t="n">
        <x:v>3</x:v>
      </x:c>
    </x:row>
    <x:row r="10" ht="28" customHeight="1">
      <x:c r="A10" s="9" t="str">
        <x:v>order_use</x:v>
      </x:c>
      <x:c r="B10" s="9" t="str">
        <x:v>use</x:v>
      </x:c>
      <x:c r="C10" s="9" t="str">
        <x:v>damage</x:v>
      </x:c>
      <x:c r="D10" s="9" t="str">
        <x:v>opponent</x:v>
      </x:c>
      <x:c r="E10" s="22" t="n">
        <x:f>IF(A10="","",IF(C10="multiply_power",N10,ROUND(N10*INDEX(Balance!$B$5:$B$8,MATCH(IF(C10="modify_power",J10,C10),Balance!$A$5:$A$8,0)),0)))</x:f>
        <x:v>10</x:v>
      </x:c>
      <x:c r="F10" s="9" t="str"/>
      <x:c r="G10" s="9" t="str"/>
      <x:c r="H10" s="9" t="str">
        <x:v>flat</x:v>
      </x:c>
      <x:c r="I10" s="13" t="n">
        <x:v>1</x:v>
      </x:c>
      <x:c r="J10" s="9" t="str"/>
      <x:c r="K10" s="9" t="str"/>
      <x:c r="L10" s="13" t="n">
        <x:v>1</x:v>
      </x:c>
      <x:c r="M10" s="13" t="n">
        <x:v>0</x:v>
      </x:c>
      <x:c r="N10" s="9" t="n">
        <x:v>10</x:v>
      </x:c>
    </x:row>
    <x:row r="11" ht="28" customHeight="1">
      <x:c r="A11" s="9" t="str">
        <x:v>coin_use</x:v>
      </x:c>
      <x:c r="B11" s="9" t="str">
        <x:v>use</x:v>
      </x:c>
      <x:c r="C11" s="9" t="str">
        <x:v>guard</x:v>
      </x:c>
      <x:c r="D11" s="9" t="str">
        <x:v>self</x:v>
      </x:c>
      <x:c r="E11" s="22" t="n">
        <x:f>IF(A11="","",IF(C11="multiply_power",N11,ROUND(N11*INDEX(Balance!$B$5:$B$8,MATCH(IF(C11="modify_power",J11,C11),Balance!$A$5:$A$8,0)),0)))</x:f>
        <x:v>1</x:v>
      </x:c>
      <x:c r="F11" s="9" t="str"/>
      <x:c r="G11" s="9" t="str"/>
      <x:c r="H11" s="9" t="str">
        <x:v>flat</x:v>
      </x:c>
      <x:c r="I11" s="13" t="n">
        <x:v>1</x:v>
      </x:c>
      <x:c r="J11" s="9" t="str"/>
      <x:c r="K11" s="9" t="str"/>
      <x:c r="L11" s="13" t="n">
        <x:v>1</x:v>
      </x:c>
      <x:c r="M11" s="13" t="n">
        <x:v>0</x:v>
      </x:c>
      <x:c r="N11" s="9" t="n">
        <x:v>1</x:v>
      </x:c>
    </x:row>
    <x:row r="12" ht="28" customHeight="1">
      <x:c r="A12" s="9" t="str">
        <x:v>mirror_use</x:v>
      </x:c>
      <x:c r="B12" s="9" t="str">
        <x:v>use</x:v>
      </x:c>
      <x:c r="C12" s="9" t="str">
        <x:v>guard</x:v>
      </x:c>
      <x:c r="D12" s="9" t="str">
        <x:v>self</x:v>
      </x:c>
      <x:c r="E12" s="22" t="n">
        <x:f>IF(A12="","",IF(C12="multiply_power",N12,ROUND(N12*INDEX(Balance!$B$5:$B$8,MATCH(IF(C12="modify_power",J12,C12),Balance!$A$5:$A$8,0)),0)))</x:f>
        <x:v>4</x:v>
      </x:c>
      <x:c r="F12" s="9" t="str"/>
      <x:c r="G12" s="9" t="str"/>
      <x:c r="H12" s="9" t="str">
        <x:v>flat</x:v>
      </x:c>
      <x:c r="I12" s="13" t="n">
        <x:v>1</x:v>
      </x:c>
      <x:c r="J12" s="9" t="str"/>
      <x:c r="K12" s="9" t="str"/>
      <x:c r="L12" s="13" t="n">
        <x:v>1</x:v>
      </x:c>
      <x:c r="M12" s="13" t="n">
        <x:v>0</x:v>
      </x:c>
      <x:c r="N12" s="9" t="n">
        <x:v>4</x:v>
      </x:c>
    </x:row>
    <x:row r="13" ht="28" customHeight="1">
      <x:c r="A13" s="9" t="str">
        <x:v>mirror_bonus</x:v>
      </x:c>
      <x:c r="B13" s="9" t="str">
        <x:v>modify</x:v>
      </x:c>
      <x:c r="C13" s="9" t="str">
        <x:v>modify_power</x:v>
      </x:c>
      <x:c r="D13" s="9" t="str">
        <x:v>self</x:v>
      </x:c>
      <x:c r="E13" s="22" t="n">
        <x:f>IF(A13="","",IF(C13="multiply_power",N13,ROUND(N13*INDEX(Balance!$B$5:$B$8,MATCH(IF(C13="modify_power",J13,C13),Balance!$A$5:$A$8,0)),0)))</x:f>
        <x:v>2</x:v>
      </x:c>
      <x:c r="F13" s="9" t="str"/>
      <x:c r="G13" s="9" t="str">
        <x:v>lantern</x:v>
      </x:c>
      <x:c r="H13" s="9" t="str">
        <x:v>per_adjacent</x:v>
      </x:c>
      <x:c r="I13" s="13" t="n">
        <x:v>1</x:v>
      </x:c>
      <x:c r="J13" s="9" t="str">
        <x:v>guard</x:v>
      </x:c>
      <x:c r="K13" s="9" t="str">
        <x:v>mirror_bonus</x:v>
      </x:c>
      <x:c r="L13" s="13" t="n">
        <x:v>1</x:v>
      </x:c>
      <x:c r="M13" s="13" t="n">
        <x:v>0</x:v>
      </x:c>
      <x:c r="N13" s="9" t="n">
        <x:v>2</x:v>
      </x:c>
    </x:row>
    <x:row r="14" ht="28" customHeight="1">
      <x:c r="A14" s="9" t="str">
        <x:v>encounter_1_intent_1</x:v>
      </x:c>
      <x:c r="B14" s="9" t="str">
        <x:v>use</x:v>
      </x:c>
      <x:c r="C14" s="9" t="str">
        <x:v>damage</x:v>
      </x:c>
      <x:c r="D14" s="9" t="str">
        <x:v>opponent</x:v>
      </x:c>
      <x:c r="E14" s="22" t="n">
        <x:f>IF(A14="","",IF(C14="multiply_power",N14,ROUND(N14*INDEX(Balance!$B$5:$B$8,MATCH(IF(C14="modify_power",J14,C14),Balance!$A$5:$A$8,0)),0)))</x:f>
        <x:v>5</x:v>
      </x:c>
      <x:c r="F14" s="9" t="str"/>
      <x:c r="G14" s="9" t="str"/>
      <x:c r="H14" s="9" t="str">
        <x:v>flat</x:v>
      </x:c>
      <x:c r="I14" s="13" t="n">
        <x:v>1</x:v>
      </x:c>
      <x:c r="J14" s="9" t="str"/>
      <x:c r="K14" s="9" t="str"/>
      <x:c r="L14" s="13" t="n">
        <x:v>1</x:v>
      </x:c>
      <x:c r="M14" s="13" t="n">
        <x:v>0</x:v>
      </x:c>
      <x:c r="N14" s="9" t="n">
        <x:v>5</x:v>
      </x:c>
    </x:row>
    <x:row r="15" ht="28" customHeight="1">
      <x:c r="A15" s="9" t="str">
        <x:v>encounter_1_intent_2</x:v>
      </x:c>
      <x:c r="B15" s="9" t="str">
        <x:v>use</x:v>
      </x:c>
      <x:c r="C15" s="9" t="str">
        <x:v>damage</x:v>
      </x:c>
      <x:c r="D15" s="9" t="str">
        <x:v>opponent</x:v>
      </x:c>
      <x:c r="E15" s="22" t="n">
        <x:f>IF(A15="","",IF(C15="multiply_power",N15,ROUND(N15*INDEX(Balance!$B$5:$B$8,MATCH(IF(C15="modify_power",J15,C15),Balance!$A$5:$A$8,0)),0)))</x:f>
        <x:v>7</x:v>
      </x:c>
      <x:c r="F15" s="9" t="str"/>
      <x:c r="G15" s="9" t="str"/>
      <x:c r="H15" s="9" t="str">
        <x:v>flat</x:v>
      </x:c>
      <x:c r="I15" s="13" t="n">
        <x:v>1</x:v>
      </x:c>
      <x:c r="J15" s="9" t="str"/>
      <x:c r="K15" s="9" t="str"/>
      <x:c r="L15" s="13" t="n">
        <x:v>1</x:v>
      </x:c>
      <x:c r="M15" s="13" t="n">
        <x:v>0</x:v>
      </x:c>
      <x:c r="N15" s="9" t="n">
        <x:v>7</x:v>
      </x:c>
    </x:row>
    <x:row r="16" ht="28" customHeight="1">
      <x:c r="A16" s="9" t="str">
        <x:v>encounter_2_intent_1</x:v>
      </x:c>
      <x:c r="B16" s="9" t="str">
        <x:v>use</x:v>
      </x:c>
      <x:c r="C16" s="9" t="str">
        <x:v>set_guard</x:v>
      </x:c>
      <x:c r="D16" s="9" t="str">
        <x:v>self</x:v>
      </x:c>
      <x:c r="E16" s="22" t="n">
        <x:f>IF(A16="","",IF(C16="multiply_power",N16,ROUND(N16*INDEX(Balance!$B$5:$B$8,MATCH(IF(C16="modify_power",J16,C16),Balance!$A$5:$A$8,0)),0)))</x:f>
        <x:v>6</x:v>
      </x:c>
      <x:c r="F16" s="9" t="str"/>
      <x:c r="G16" s="9" t="str"/>
      <x:c r="H16" s="9" t="str">
        <x:v>flat</x:v>
      </x:c>
      <x:c r="I16" s="13" t="n">
        <x:v>1</x:v>
      </x:c>
      <x:c r="J16" s="9" t="str"/>
      <x:c r="K16" s="9" t="str"/>
      <x:c r="L16" s="13" t="n">
        <x:v>1</x:v>
      </x:c>
      <x:c r="M16" s="13" t="n">
        <x:v>0</x:v>
      </x:c>
      <x:c r="N16" s="9" t="n">
        <x:v>6</x:v>
      </x:c>
    </x:row>
    <x:row r="17" ht="28" customHeight="1">
      <x:c r="A17" s="9" t="str">
        <x:v>encounter_2_intent_2</x:v>
      </x:c>
      <x:c r="B17" s="9" t="str">
        <x:v>use</x:v>
      </x:c>
      <x:c r="C17" s="9" t="str">
        <x:v>damage</x:v>
      </x:c>
      <x:c r="D17" s="9" t="str">
        <x:v>opponent</x:v>
      </x:c>
      <x:c r="E17" s="22" t="n">
        <x:f>IF(A17="","",IF(C17="multiply_power",N17,ROUND(N17*INDEX(Balance!$B$5:$B$8,MATCH(IF(C17="modify_power",J17,C17),Balance!$A$5:$A$8,0)),0)))</x:f>
        <x:v>9</x:v>
      </x:c>
      <x:c r="F17" s="9" t="str"/>
      <x:c r="G17" s="9" t="str"/>
      <x:c r="H17" s="9" t="str">
        <x:v>flat</x:v>
      </x:c>
      <x:c r="I17" s="13" t="n">
        <x:v>1</x:v>
      </x:c>
      <x:c r="J17" s="9" t="str"/>
      <x:c r="K17" s="9" t="str"/>
      <x:c r="L17" s="13" t="n">
        <x:v>1</x:v>
      </x:c>
      <x:c r="M17" s="13" t="n">
        <x:v>0</x:v>
      </x:c>
      <x:c r="N17" s="9" t="n">
        <x:v>9</x:v>
      </x:c>
    </x:row>
    <x:row r="18" ht="28" customHeight="1">
      <x:c r="A18" s="9" t="str">
        <x:v>encounter_3_intent_1</x:v>
      </x:c>
      <x:c r="B18" s="9" t="str">
        <x:v>use</x:v>
      </x:c>
      <x:c r="C18" s="9" t="str">
        <x:v>damage</x:v>
      </x:c>
      <x:c r="D18" s="9" t="str">
        <x:v>opponent</x:v>
      </x:c>
      <x:c r="E18" s="22" t="n">
        <x:f>IF(A18="","",IF(C18="multiply_power",N18,ROUND(N18*INDEX(Balance!$B$5:$B$8,MATCH(IF(C18="modify_power",J18,C18),Balance!$A$5:$A$8,0)),0)))</x:f>
        <x:v>6</x:v>
      </x:c>
      <x:c r="F18" s="9" t="str"/>
      <x:c r="G18" s="9" t="str"/>
      <x:c r="H18" s="9" t="str">
        <x:v>flat</x:v>
      </x:c>
      <x:c r="I18" s="13" t="n">
        <x:v>1</x:v>
      </x:c>
      <x:c r="J18" s="9" t="str"/>
      <x:c r="K18" s="9" t="str"/>
      <x:c r="L18" s="13" t="n">
        <x:v>1</x:v>
      </x:c>
      <x:c r="M18" s="13" t="n">
        <x:v>0</x:v>
      </x:c>
      <x:c r="N18" s="9" t="n">
        <x:v>6</x:v>
      </x:c>
    </x:row>
    <x:row r="19" ht="28" customHeight="1">
      <x:c r="A19" s="9" t="str">
        <x:v>encounter_3_intent_2</x:v>
      </x:c>
      <x:c r="B19" s="9" t="str">
        <x:v>use</x:v>
      </x:c>
      <x:c r="C19" s="9" t="str">
        <x:v>damage</x:v>
      </x:c>
      <x:c r="D19" s="9" t="str">
        <x:v>opponent</x:v>
      </x:c>
      <x:c r="E19" s="22" t="n">
        <x:f>IF(A19="","",IF(C19="multiply_power",N19,ROUND(N19*INDEX(Balance!$B$5:$B$8,MATCH(IF(C19="modify_power",J19,C19),Balance!$A$5:$A$8,0)),0)))</x:f>
        <x:v>10</x:v>
      </x:c>
      <x:c r="F19" s="9" t="str"/>
      <x:c r="G19" s="9" t="str"/>
      <x:c r="H19" s="9" t="str">
        <x:v>flat</x:v>
      </x:c>
      <x:c r="I19" s="13" t="n">
        <x:v>1</x:v>
      </x:c>
      <x:c r="J19" s="9" t="str"/>
      <x:c r="K19" s="9" t="str"/>
      <x:c r="L19" s="13" t="n">
        <x:v>1</x:v>
      </x:c>
      <x:c r="M19" s="13" t="n">
        <x:v>0</x:v>
      </x:c>
      <x:c r="N19" s="9" t="n">
        <x:v>10</x:v>
      </x:c>
    </x:row>
    <x:row r="20" ht="28" customHeight="1">
      <x:c r="A20" s="9" t="str">
        <x:v>encounter_3_intent_3</x:v>
      </x:c>
      <x:c r="B20" s="9" t="str">
        <x:v>use</x:v>
      </x:c>
      <x:c r="C20" s="9" t="str">
        <x:v>set_guard</x:v>
      </x:c>
      <x:c r="D20" s="9" t="str">
        <x:v>self</x:v>
      </x:c>
      <x:c r="E20" s="22" t="n">
        <x:f>IF(A20="","",IF(C20="multiply_power",N20,ROUND(N20*INDEX(Balance!$B$5:$B$8,MATCH(IF(C20="modify_power",J20,C20),Balance!$A$5:$A$8,0)),0)))</x:f>
        <x:v>8</x:v>
      </x:c>
      <x:c r="F20" s="9" t="str"/>
      <x:c r="G20" s="9" t="str"/>
      <x:c r="H20" s="9" t="str">
        <x:v>flat</x:v>
      </x:c>
      <x:c r="I20" s="13" t="n">
        <x:v>1</x:v>
      </x:c>
      <x:c r="J20" s="9" t="str"/>
      <x:c r="K20" s="9" t="str"/>
      <x:c r="L20" s="13" t="n">
        <x:v>1</x:v>
      </x:c>
      <x:c r="M20" s="13" t="n">
        <x:v>0</x:v>
      </x:c>
      <x:c r="N20" s="9" t="n">
        <x:v>8</x:v>
      </x:c>
    </x:row>
    <x:row r="21">
      <x:c r="A21" s="9" t="str">
        <x:v>jade_diagonal_factor</x:v>
      </x:c>
      <x:c r="B21" s="9" t="str">
        <x:v>modify</x:v>
      </x:c>
      <x:c r="C21" s="9" t="str">
        <x:v>multiply_power</x:v>
      </x:c>
      <x:c r="D21" s="9" t="str">
        <x:v>diagonal_items</x:v>
      </x:c>
      <x:c r="E21" s="22" t="n">
        <x:f>IF(A21="","",IF(C21="multiply_power",N21,ROUND(N21*INDEX(Balance!$B$5:$B$8,MATCH(IF(C21="modify_power",J21,C21),Balance!$A$5:$A$8,0)),0)))</x:f>
        <x:v>2</x:v>
      </x:c>
      <x:c r="F21" s="9" t="str">
        <x:v>weapon</x:v>
      </x:c>
      <x:c r="G21" s="9" t="str"/>
      <x:c r="H21" s="9" t="str">
        <x:v>flat</x:v>
      </x:c>
      <x:c r="I21" s="13" t="n">
        <x:v>1</x:v>
      </x:c>
      <x:c r="J21" s="9" t="str">
        <x:v>damage</x:v>
      </x:c>
      <x:c r="K21" s="9" t="str"/>
      <x:c r="L21" s="13" t="n">
        <x:v>1</x:v>
      </x:c>
      <x:c r="M21" s="13" t="n">
        <x:v>0</x:v>
      </x:c>
      <x:c r="N21" s="9" t="n">
        <x:v>2</x:v>
      </x:c>
    </x:row>
    <x:row r="22">
      <x:c r="A22" s="9" t="str">
        <x:v>arang_pain_reaction</x:v>
      </x:c>
      <x:c r="B22" s="9" t="str">
        <x:v>damage_taken</x:v>
      </x:c>
      <x:c r="C22" s="9" t="str">
        <x:v>damage</x:v>
      </x:c>
      <x:c r="D22" s="9" t="str">
        <x:v>opponent</x:v>
      </x:c>
      <x:c r="E22" s="22" t="n">
        <x:f>IF(A22="","",IF(C22="multiply_power",N22,ROUND(N22*INDEX(Balance!$B$5:$B$8,MATCH(IF(C22="modify_power",J22,C22),Balance!$A$5:$A$8,0)),0)))</x:f>
        <x:v>2</x:v>
      </x:c>
      <x:c r="F22" s="9" t="str"/>
      <x:c r="G22" s="9" t="str"/>
      <x:c r="H22" s="9" t="str">
        <x:v>flat</x:v>
      </x:c>
      <x:c r="I22" s="13" t="n">
        <x:v>1</x:v>
      </x:c>
      <x:c r="J22" s="9" t="str"/>
      <x:c r="K22" s="9" t="str"/>
      <x:c r="L22" s="13" t="n">
        <x:v>1</x:v>
      </x:c>
      <x:c r="M22" s="13" t="n">
        <x:v>0</x:v>
      </x:c>
      <x:c r="N22" s="9" t="n">
        <x:v>2</x:v>
      </x:c>
    </x:row>
  </x:sheetData>
  <x:dataValidations count="9">
    <x:dataValidation type="list" sqref="B2:B2001">
      <x:formula1>"use,turn_end,damage_taken,modify"</x:formula1>
    </x:dataValidation>
    <x:dataValidation type="list" sqref="C2:C2001">
      <x:formula1>"damage,guard,heal,set_guard,modify_power,multiply_power"</x:formula1>
    </x:dataValidation>
    <x:dataValidation type="list" sqref="D2:D2001">
      <x:formula1>"self,opponent,adjacent_items,diagonal_items,neighbor_items"</x:formula1>
    </x:dataValidation>
    <x:dataValidation type="whole" operator="between" sqref="E2:E2001">
      <x:formula1>0</x:formula1>
      <x:formula2>100000</x:formula2>
    </x:dataValidation>
    <x:dataValidation type="list" sqref="H2:H2001">
      <x:formula1>"flat,per_adjacent,per_diagonal,per_neighbor"</x:formula1>
    </x:dataValidation>
    <x:dataValidation type="whole" operator="between" sqref="I2:I2001">
      <x:formula1>1</x:formula1>
      <x:formula2>64</x:formula2>
    </x:dataValidation>
    <x:dataValidation type="list" sqref="J2:J2001">
      <x:formula1>"damage,guard,heal,set_guard"</x:formula1>
    </x:dataValidation>
    <x:dataValidation type="whole" operator="between" sqref="L2:L2001">
      <x:formula1>1</x:formula1>
      <x:formula2>128</x:formula2>
    </x:dataValidation>
    <x:dataValidation type="whole" operator="between" sqref="M2:M2001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f5c48de5d3844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0" hidden="0" customWidth="1"/>
  </x:cols>
  <x:sheetData>
    <x:row r="1" ht="34" customHeight="1">
      <x:c r="A1" s="11" t="str">
        <x:v>id</x:v>
      </x:c>
      <x:c r="B1" s="11" t="str">
        <x:v>label</x:v>
      </x:c>
    </x:row>
    <x:row r="2" ht="28" customHeight="1">
      <x:c r="A2" s="9" t="str">
        <x:v>weapon</x:v>
      </x:c>
      <x:c r="B2" s="9" t="str">
        <x:v>Weapon</x:v>
      </x:c>
    </x:row>
    <x:row r="3" ht="28" customHeight="1">
      <x:c r="A3" s="9" t="str">
        <x:v>keepsake</x:v>
      </x:c>
      <x:c r="B3" s="9" t="str">
        <x:v>Keepsake</x:v>
      </x:c>
    </x:row>
    <x:row r="4" ht="28" customHeight="1">
      <x:c r="A4" s="9" t="str">
        <x:v>lantern</x:v>
      </x:c>
      <x:c r="B4" s="9" t="str">
        <x:v>Lantern</x:v>
      </x:c>
    </x:row>
    <x:row r="5" ht="28" customHeight="1">
      <x:c r="A5" s="9" t="str">
        <x:v>talisman</x:v>
      </x:c>
      <x:c r="B5" s="9" t="str">
        <x:v>Talisman</x:v>
      </x:c>
    </x:row>
  </x:sheetData>
  <x:pageMargins left="0.7" right="0.7" top="0.75" bottom="0.75" header="0.3" footer="0.3"/>
  <x:tableParts count="1">
    <x:tablePart xmlns:r="http://schemas.openxmlformats.org/officeDocument/2006/relationships" r:id="Rafe35dde51be4f8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11" t="str">
        <x:v>id</x:v>
      </x:c>
      <x:c r="B1" s="11" t="str">
        <x:v>item_id</x:v>
      </x:c>
      <x:c r="C1" s="11" t="str">
        <x:v>x</x:v>
      </x:c>
      <x:c r="D1" s="11" t="str">
        <x:v>y</x:v>
      </x:c>
      <x:c r="E1" s="11" t="str">
        <x:v>rotation</x:v>
      </x:c>
    </x:row>
    <x:row r="2" ht="28" customHeight="1">
      <x:c r="A2" s="9" t="str">
        <x:v>sword</x:v>
      </x:c>
      <x:c r="B2" s="9" t="str">
        <x:v>sword</x:v>
      </x:c>
      <x:c r="C2" s="13" t="n">
        <x:v>3</x:v>
      </x:c>
      <x:c r="D2" s="13" t="n">
        <x:v>0</x:v>
      </x:c>
      <x:c r="E2" s="13" t="n">
        <x:v>0</x:v>
      </x:c>
    </x:row>
    <x:row r="3" ht="28" customHeight="1">
      <x:c r="A3" s="9" t="str">
        <x:v>seal</x:v>
      </x:c>
      <x:c r="B3" s="9" t="str">
        <x:v>seal</x:v>
      </x:c>
      <x:c r="C3" s="13" t="n">
        <x:v>1</x:v>
      </x:c>
      <x:c r="D3" s="13" t="n">
        <x:v>0</x:v>
      </x:c>
      <x:c r="E3" s="13" t="n">
        <x:v>0</x:v>
      </x:c>
    </x:row>
    <x:row r="4" ht="28" customHeight="1">
      <x:c r="A4" s="9" t="str">
        <x:v>lantern</x:v>
      </x:c>
      <x:c r="B4" s="9" t="str">
        <x:v>lantern</x:v>
      </x:c>
      <x:c r="C4" s="13" t="n">
        <x:v>0</x:v>
      </x:c>
      <x:c r="D4" s="13" t="n">
        <x:v>1</x:v>
      </x:c>
      <x:c r="E4" s="13" t="n">
        <x:v>0</x:v>
      </x:c>
    </x:row>
    <x:row r="5" ht="28" customHeight="1">
      <x:c r="A5" s="9" t="str">
        <x:v>ring</x:v>
      </x:c>
      <x:c r="B5" s="9" t="str">
        <x:v>ring</x:v>
      </x:c>
      <x:c r="C5" s="13" t="n">
        <x:v>4</x:v>
      </x:c>
      <x:c r="D5" s="13" t="n">
        <x:v>3</x:v>
      </x:c>
      <x:c r="E5" s="13" t="n">
        <x:v>0</x:v>
      </x:c>
    </x:row>
    <x:row r="6" ht="28" customHeight="1">
      <x:c r="A6" s="9" t="str">
        <x:v>hat</x:v>
      </x:c>
      <x:c r="B6" s="9" t="str">
        <x:v>hat</x:v>
      </x:c>
      <x:c r="C6" s="13" t="n">
        <x:v>1</x:v>
      </x:c>
      <x:c r="D6" s="13" t="n">
        <x:v>2</x:v>
      </x:c>
      <x:c r="E6" s="13" t="n">
        <x:v>0</x:v>
      </x:c>
    </x:row>
    <x:row r="7" ht="28" customHeight="1">
      <x:c r="A7" s="9" t="str">
        <x:v>bell</x:v>
      </x:c>
      <x:c r="B7" s="9" t="str">
        <x:v>bell</x:v>
      </x:c>
      <x:c r="C7" s="13" t="n">
        <x:v>4</x:v>
      </x:c>
      <x:c r="D7" s="13" t="n">
        <x:v>0</x:v>
      </x:c>
      <x:c r="E7" s="13" t="n">
        <x:v>0</x:v>
      </x:c>
    </x:row>
    <x:row r="8" ht="28" customHeight="1">
      <x:c r="A8" s="9" t="str">
        <x:v>yakgwa</x:v>
      </x:c>
      <x:c r="B8" s="9" t="str">
        <x:v>yakgwa</x:v>
      </x:c>
      <x:c r="C8" s="13" t="n">
        <x:v>-1</x:v>
      </x:c>
      <x:c r="D8" s="13" t="n">
        <x:v>-1</x:v>
      </x:c>
      <x:c r="E8" s="13" t="n">
        <x:v>0</x:v>
      </x:c>
    </x:row>
  </x:sheetData>
  <x:dataValidations count="3">
    <x:dataValidation type="whole" operator="between" sqref="C2:C2001">
      <x:formula1>-1</x:formula1>
      <x:formula2>63</x:formula2>
    </x:dataValidation>
    <x:dataValidation type="whole" operator="between" sqref="D2:D2001">
      <x:formula1>-1</x:formula1>
      <x:formula2>63</x:formula2>
    </x:dataValidation>
    <x:dataValidation type="whole" operator="between" sqref="E2:E2001">
      <x:formula1>0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e4a0df19199465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46" hidden="0" customWidth="1"/>
    <x:col min="6" max="6" width="46" hidden="0" customWidth="1"/>
    <x:col min="7" max="7" width="20" hidden="0" customWidth="1"/>
  </x:cols>
  <x:sheetData>
    <x:row r="1" ht="34" customHeight="1">
      <x:c r="A1" s="11" t="str">
        <x:v>id</x:v>
      </x:c>
      <x:c r="B1" s="11" t="str">
        <x:v>order</x:v>
      </x:c>
      <x:c r="C1" s="11" t="str">
        <x:v>name</x:v>
      </x:c>
      <x:c r="D1" s="11" t="str">
        <x:v>hp</x:v>
      </x:c>
      <x:c r="E1" s="11" t="str">
        <x:v>intent_ids</x:v>
      </x:c>
      <x:c r="F1" s="11" t="str">
        <x:v>reaction_ids</x:v>
      </x:c>
      <x:c r="G1" s="11" t="str">
        <x:v>visual_id</x:v>
      </x:c>
    </x:row>
    <x:row r="2" ht="48" customHeight="1">
      <x:c r="A2" s="9" t="str">
        <x:v>gate_1</x:v>
      </x:c>
      <x:c r="B2" s="13" t="n">
        <x:v>0</x:v>
      </x:c>
      <x:c r="C2" s="9" t="str">
        <x:v>Terrified Guard</x:v>
      </x:c>
      <x:c r="D2" s="13" t="n">
        <x:v>18</x:v>
      </x:c>
      <x:c r="E2" s="12" t="str">
        <x:v>encounter_1_intent_1|encounter_1_intent_2</x:v>
      </x:c>
      <x:c r="F2" s="12" t="str"/>
      <x:c r="G2" s="9" t="str">
        <x:v>spirit_1</x:v>
      </x:c>
    </x:row>
    <x:row r="3" ht="48" customHeight="1">
      <x:c r="A3" s="9" t="str">
        <x:v>gate_2</x:v>
      </x:c>
      <x:c r="B3" s="13" t="n">
        <x:v>1</x:v>
      </x:c>
      <x:c r="C3" s="9" t="str">
        <x:v>Arang, Restless Spirit</x:v>
      </x:c>
      <x:c r="D3" s="13" t="n">
        <x:v>30</x:v>
      </x:c>
      <x:c r="E3" s="12" t="str">
        <x:v>encounter_2_intent_1|encounter_2_intent_2</x:v>
      </x:c>
      <x:c r="F3" s="12" t="str"/>
      <x:c r="G3" s="9" t="str">
        <x:v>spirit_2</x:v>
      </x:c>
    </x:row>
    <x:row r="4" ht="48" customHeight="1">
      <x:c r="A4" s="9" t="str">
        <x:v>gate_3</x:v>
      </x:c>
      <x:c r="B4" s="13" t="n">
        <x:v>2</x:v>
      </x:c>
      <x:c r="C4" s="9" t="str">
        <x:v>Arang, Restless Spirit</x:v>
      </x:c>
      <x:c r="D4" s="13" t="n">
        <x:v>24</x:v>
      </x:c>
      <x:c r="E4" s="12" t="str">
        <x:v>encounter_3_intent_1|encounter_3_intent_2|encounter_3_intent_3</x:v>
      </x:c>
      <x:c r="F4" s="12" t="str">
        <x:v>arang_pain_reaction</x:v>
      </x:c>
      <x:c r="G4" s="9" t="str">
        <x:v>spirit_3</x:v>
      </x:c>
    </x:row>
  </x:sheetData>
  <x:dataValidations count="2">
    <x:dataValidation type="whole" operator="between" sqref="B2:B2001">
      <x:formula1>0</x:formula1>
      <x:formula2>1000</x:formula2>
    </x:dataValidation>
    <x:dataValidation type="whole" operator="between" sqref="D2:D2001">
      <x:formula1>1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51a8a4aa2c5463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11" t="str">
        <x:v>id</x:v>
      </x:c>
      <x:c r="B1" s="11" t="str">
        <x:v>grid_width</x:v>
      </x:c>
      <x:c r="C1" s="11" t="str">
        <x:v>grid_height</x:v>
      </x:c>
      <x:c r="D1" s="11" t="str">
        <x:v>max_health</x:v>
      </x:c>
      <x:c r="E1" s="11" t="str">
        <x:v>energy_per_turn</x:v>
      </x:c>
      <x:c r="F1" s="11" t="str">
        <x:v>victory_heal</x:v>
      </x:c>
      <x:c r="G1" s="11" t="str">
        <x:v>player_visual</x:v>
      </x:c>
    </x:row>
    <x:row r="2" ht="28" customHeight="1">
      <x:c r="A2" s="9" t="str">
        <x:v>first_delivery</x:v>
      </x:c>
      <x:c r="B2" s="13" t="n">
        <x:v>5</x:v>
      </x:c>
      <x:c r="C2" s="13" t="n">
        <x:v>4</x:v>
      </x:c>
      <x:c r="D2" s="13" t="n">
        <x:v>28</x:v>
      </x:c>
      <x:c r="E2" s="13" t="n">
        <x:v>3</x:v>
      </x:c>
      <x:c r="F2" s="13" t="n">
        <x:v>4</x:v>
      </x:c>
      <x:c r="G2" s="9" t="str">
        <x:v>reaper</x:v>
      </x:c>
    </x:row>
  </x:sheetData>
  <x:dataValidations count="5">
    <x:dataValidation type="whole" operator="between" sqref="B2:B2001">
      <x:formula1>1</x:formula1>
      <x:formula2>64</x:formula2>
    </x:dataValidation>
    <x:dataValidation type="whole" operator="between" sqref="C2:C2001">
      <x:formula1>1</x:formula1>
      <x:formula2>64</x:formula2>
    </x:dataValidation>
    <x:dataValidation type="whole" operator="between" sqref="D2:D2001">
      <x:formula1>1</x:formula1>
      <x:formula2>1000000</x:formula2>
    </x:dataValidation>
    <x:dataValidation type="whole" operator="between" sqref="E2:E2001">
      <x:formula1>0</x:formula1>
      <x:formula2>100</x:formula2>
    </x:dataValidation>
    <x:dataValidation type="whole" operator="between" sqref="F2:F2001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5783f6cda0c422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46" hidden="0" customWidth="1"/>
  </x:cols>
  <x:sheetData>
    <x:row r="1" ht="34" customHeight="1">
      <x:c r="A1" s="11" t="str">
        <x:v>id</x:v>
      </x:c>
      <x:c r="B1" s="11" t="str">
        <x:v>encounter_id</x:v>
      </x:c>
      <x:c r="C1" s="11" t="str">
        <x:v>item_ids</x:v>
      </x:c>
    </x:row>
    <x:row r="2" ht="48" customHeight="1">
      <x:c r="A2" s="9" t="str">
        <x:v>first_crossing</x:v>
      </x:c>
      <x:c r="B2" s="9" t="str">
        <x:v>gate_1</x:v>
      </x:c>
      <x:c r="C2" s="12" t="str">
        <x:v>rope|sandals|order</x:v>
      </x:c>
    </x:row>
    <x:row r="3" ht="48" customHeight="1">
      <x:c r="A3" s="9" t="str">
        <x:v>second_crossing</x:v>
      </x:c>
      <x:c r="B3" s="9" t="str">
        <x:v>gate_2</x:v>
      </x:c>
      <x:c r="C3" s="12" t="str">
        <x:v>order|coin|yakgwa</x:v>
      </x:c>
    </x:row>
  </x:sheetData>
  <x:pageMargins left="0.7" right="0.7" top="0.75" bottom="0.75" header="0.3" footer="0.3"/>
  <x:tableParts count="1">
    <x:tablePart xmlns:r="http://schemas.openxmlformats.org/officeDocument/2006/relationships" r:id="R2d546c32b6d2441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58" hidden="0" customWidth="1"/>
    <x:col min="4" max="4" width="46" hidden="0" customWidth="1"/>
    <x:col min="5" max="5" width="46" hidden="0" customWidth="1"/>
  </x:cols>
  <x:sheetData>
    <x:row r="1" ht="34" customHeight="1">
      <x:c r="A1" s="11" t="str">
        <x:v>id</x:v>
      </x:c>
      <x:c r="B1" s="11" t="str">
        <x:v>name</x:v>
      </x:c>
      <x:c r="C1" s="11" t="str">
        <x:v>description</x:v>
      </x:c>
      <x:c r="D1" s="11" t="str">
        <x:v>encounter_ids</x:v>
      </x:c>
      <x:c r="E1" s="11" t="str">
        <x:v>reward_ids</x:v>
      </x:c>
    </x:row>
    <x:row r="2" ht="48" customHeight="1">
      <x:c r="A2" s="9" t="str">
        <x:v>mist_path</x:v>
      </x:c>
      <x:c r="B2" s="9" t="str">
        <x:v>Follow the Bamboo Grove</x:v>
      </x:c>
      <x:c r="C2" s="12" t="str">
        <x:v>Meet Arang in the grove. Her first move is defense.</x:v>
      </x:c>
      <x:c r="D2" s="12" t="str">
        <x:v>gate_1|gate_2|gate_3</x:v>
      </x:c>
      <x:c r="E2" s="12" t="str">
        <x:v>first_crossing|second_crossing</x:v>
      </x:c>
    </x:row>
    <x:row r="3" ht="48" customHeight="1">
      <x:c r="A3" s="9" t="str">
        <x:v>moon_path</x:v>
      </x:c>
      <x:c r="B3" s="9" t="str">
        <x:v>Pass the Moonlit Pond</x:v>
      </x:c>
      <x:c r="C3" s="12" t="str">
        <x:v>Meet Arang by the pond. Her first move is an attack.</x:v>
      </x:c>
      <x:c r="D3" s="12" t="str">
        <x:v>gate_1|gate_3|gate_2</x:v>
      </x:c>
      <x:c r="E3" s="12" t="str">
        <x:v>first_crossing|second_crossing</x:v>
      </x:c>
    </x:row>
  </x:sheetData>
  <x:pageMargins left="0.7" right="0.7" top="0.75" bottom="0.75" header="0.3" footer="0.3"/>
  <x:tableParts count="1">
    <x:tablePart xmlns:r="http://schemas.openxmlformats.org/officeDocument/2006/relationships" r:id="Rfaa6d9d9a0174d4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55" hidden="0" customWidth="1"/>
    <x:col min="5" max="5" width="22" hidden="0" customWidth="1"/>
    <x:col min="6" max="6" width="22" hidden="0" customWidth="1"/>
    <x:col min="7" max="7" width="22" hidden="0" customWidth="1"/>
    <x:col min="8" max="8" width="55" hidden="0" customWidth="1"/>
    <x:col min="9" max="9" width="55" hidden="0" customWidth="1"/>
    <x:col min="10" max="10" width="22" hidden="0" customWidth="1"/>
  </x:cols>
  <x:sheetData>
    <x:row r="1" ht="34" customHeight="1">
      <x:c r="A1" s="25" t="str">
        <x:v>id</x:v>
      </x:c>
      <x:c r="B1" s="25" t="str">
        <x:v>step</x:v>
      </x:c>
      <x:c r="C1" s="25" t="str">
        <x:v>title</x:v>
      </x:c>
      <x:c r="D1" s="25" t="str">
        <x:v>description</x:v>
      </x:c>
      <x:c r="E1" s="25" t="str">
        <x:v>item_id</x:v>
      </x:c>
      <x:c r="F1" s="25" t="str">
        <x:v>take_label</x:v>
      </x:c>
      <x:c r="G1" s="25" t="str">
        <x:v>leave_label</x:v>
      </x:c>
      <x:c r="H1" s="25" t="str">
        <x:v>take_result</x:v>
      </x:c>
      <x:c r="I1" s="25" t="str">
        <x:v>leave_result</x:v>
      </x:c>
      <x:c r="J1" s="25" t="str">
        <x:v>heal_amount</x:v>
      </x:c>
    </x:row>
    <x:row r="2" ht="80" customHeight="1">
      <x:c r="A2" s="27" t="str">
        <x:v>lost_keepsake</x:v>
      </x:c>
      <x:c r="B2" s="27" t="n">
        <x:v>0</x:v>
      </x:c>
      <x:c r="C2" s="27" t="str">
        <x:v>Evidence in the Grove</x:v>
      </x:c>
      <x:c r="D2" s="27" t="str">
        <x:v>A bloodstained mirror lies in the bamboo grove. Will you keep it as evidence?</x:v>
      </x:c>
      <x:c r="E2" s="27" t="str">
        <x:v>mirror</x:v>
      </x:c>
      <x:c r="F2" s="27" t="str">
        <x:v>Take the mirror</x:v>
      </x:c>
      <x:c r="G2" s="27" t="str">
        <x:v>Leave it</x:v>
      </x:c>
      <x:c r="H2" s="27" t="str">
        <x:v>You subdued Arang by force. The mirror remains, but her story was left untold.</x:v>
      </x:c>
      <x:c r="I2" s="27" t="str">
        <x:v>You subdued Arang by force. Her story remains untold.</x:v>
      </x:c>
      <x:c r="J2" s="27" t="n">
        <x:v>0</x:v>
      </x:c>
    </x:row>
  </x:sheetData>
  <x:dataValidations count="2">
    <x:dataValidation type="whole" operator="between" sqref="B2:B2001">
      <x:formula1>0</x:formula1>
      <x:formula2>62</x:formula2>
    </x:dataValidation>
    <x:dataValidation type="whole" operator="between" sqref="J2:J2001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dd6e5ae76194fd3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  <x:col min="5" max="5" width="40" hidden="0" customWidth="1"/>
    <x:col min="6" max="6" width="22" hidden="0" customWidth="1"/>
    <x:col min="7" max="7" width="28" hidden="0" customWidth="1"/>
    <x:col min="8" max="8" width="28" hidden="0" customWidth="1"/>
  </x:cols>
  <x:sheetData>
    <x:row r="1" ht="26" customHeight="1">
      <x:c r="A1" s="29" t="str">
        <x:v>id</x:v>
      </x:c>
      <x:c r="B1" s="29" t="str">
        <x:v>event_id</x:v>
      </x:c>
      <x:c r="C1" s="29" t="str">
        <x:v>allow_stash</x:v>
      </x:c>
      <x:c r="D1" s="29" t="str">
        <x:v>message</x:v>
      </x:c>
      <x:c r="E1" s="29" t="str">
        <x:v>result</x:v>
      </x:c>
      <x:c r="F1" s="29" t="str">
        <x:v>button</x:v>
      </x:c>
      <x:c r="G1" s="29" t="str">
        <x:v>unavailable</x:v>
      </x:c>
      <x:c r="H1" s="29" t="str">
        <x:v>completion_title</x:v>
      </x:c>
    </x:row>
    <x:row r="2" ht="110" customHeight="1">
      <x:c r="A2" t="str">
        <x:v>evidence_resolution</x:v>
      </x:c>
      <x:c r="B2" t="str">
        <x:v>lost_keepsake</x:v>
      </x:c>
      <x:c r="C2" s="1" t="b">
        <x:v>1</x:v>
      </x:c>
      <x:c r="D2" s="30" t="str">
        <x:v>Arang recognizes the mirror and begins to speak.</x:v>
      </x:c>
      <x:c r="E2" s="30" t="str">
        <x:v>Arang recognizes the mirror and tells you what happened. You record her words and promise to reveal the truth. She nods and sets out on her own.</x:v>
      </x:c>
      <x:c r="F2" s="30" t="str">
        <x:v>Show the mirror and listen</x:v>
      </x:c>
      <x:c r="G2" s="30" t="str">
        <x:v>Place the evidence in your bag to hear Arang's story.</x:v>
      </x:c>
      <x:c r="H2" s="30" t="str">
        <x:v>Arang's Night · First Delivery Complete</x:v>
      </x:c>
    </x:row>
  </x:sheetData>
  <x:dataValidations count="1">
    <x:dataValidation type="list" sqref="C2:C100">
      <x:formula1>"TRUE,FALSE"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5" hidden="0" customWidth="1"/>
    <x:col min="4" max="4" width="20" hidden="0" customWidth="1"/>
    <x:col min="5" max="5" width="20" hidden="0" customWidth="1"/>
    <x:col min="6" max="6" width="20" hidden="0" customWidth="1"/>
    <x:col min="7" max="7" width="58" hidden="0" customWidth="1"/>
  </x:cols>
  <x:sheetData>
    <x:row r="1" ht="26" customHeight="1">
      <x:c r="A1" s="32" t="str">
        <x:v>id</x:v>
      </x:c>
      <x:c r="B1" s="32" t="str">
        <x:v>step</x:v>
      </x:c>
      <x:c r="C1" s="32" t="str">
        <x:v>cells</x:v>
      </x:c>
      <x:c r="D1" s="32" t="str">
        <x:v>required_tags</x:v>
      </x:c>
      <x:c r="E1" s="32" t="str">
        <x:v>cost_increase</x:v>
      </x:c>
      <x:c r="F1" s="32" t="str">
        <x:v>label</x:v>
      </x:c>
      <x:c r="G1" s="32" t="str">
        <x:v>description</x:v>
      </x:c>
    </x:row>
    <x:row r="2" ht="55" customHeight="1">
      <x:c r="A2" t="str">
        <x:v>edge_frost</x:v>
      </x:c>
      <x:c r="B2" t="n">
        <x:v>1</x:v>
      </x:c>
      <x:c r="C2" t="str">
        <x:v>0:0|1:0|2:0|3:0|4:0</x:v>
      </x:c>
      <x:c r="D2" t="str">
        <x:v>weapon</x:v>
      </x:c>
      <x:c r="E2" t="n">
        <x:v>1</x:v>
      </x:c>
      <x:c r="F2" t="str">
        <x:v>Spirit's Chill</x:v>
      </x:c>
      <x:c r="G2" s="30" t="str">
        <x:v>Cold has settled on the bag. Rotate or move a weapon to avoid it.</x:v>
      </x:c>
    </x:row>
  </x:sheetData>
  <x:pageMargins left="0.7" right="0.7" top="0.75" bottom="0.75" header="0.3" footer="0.3"/>
</x:worksheet>
</file>